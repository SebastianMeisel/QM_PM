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<sst xmlns="http://schemas.openxmlformats.org/spreadsheetml/2006/main" count="210" uniqueCount="75">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</sst>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499000" y="479520"/>
          <a:ext cx="5563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828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756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141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141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141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141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821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821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821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821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821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821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821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821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505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505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505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5056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0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0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0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120" zoomScaleNormal="120" zoomScalePageLayoutView="100" workbookViewId="0">
      <selection pane="topLeft" activeCell="A1" activeCellId="0" sqref="A1"/>
    </sheetView>
  </sheetViews>
  <sheetFormatPr defaultColWidth="13.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0" ySplit="0" topLeftCell="AI1" activePane="topRight" state="frozen"/>
      <selection pane="topLeft" activeCell="A1" activeCellId="0" sqref="A1"/>
      <selection pane="topRight" activeCell="I5" activeCellId="0" sqref="I5"/>
    </sheetView>
  </sheetViews>
  <sheetFormatPr defaultColWidth="11.839843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8" t="n">
        <v>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10</v>
      </c>
      <c r="AL2" s="30" t="n">
        <f aca="false">MAX(X2,AC8,X14)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21</v>
      </c>
      <c r="BU2" s="30" t="n">
        <f aca="false">MAX(BR2,AN14)</f>
        <v>26</v>
      </c>
      <c r="BV2" s="31"/>
      <c r="BW2" s="30" t="n">
        <f aca="false">BU2+BU4</f>
        <v>27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53</v>
      </c>
      <c r="G3" s="34" t="n">
        <v>1</v>
      </c>
      <c r="H3" s="34" t="n">
        <v>1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4" t="n">
        <v>1</v>
      </c>
      <c r="I4" s="35" t="n">
        <v>0.6</v>
      </c>
      <c r="J4" s="28" t="n">
        <f aca="false">ROUNDUP(G4/(H4*I4),0)</f>
        <v>7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5</v>
      </c>
      <c r="S4" s="37" t="n">
        <f aca="false">V2-S2</f>
        <v>0</v>
      </c>
      <c r="T4" s="39"/>
      <c r="U4" s="40"/>
      <c r="V4" s="37" t="n">
        <f aca="false">J4</f>
        <v>7</v>
      </c>
      <c r="W4" s="38" t="n">
        <f aca="false">X5-X2</f>
        <v>6</v>
      </c>
      <c r="X4" s="37" t="n">
        <f aca="false">AL2-X2</f>
        <v>1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5</v>
      </c>
      <c r="AN4" s="38" t="n">
        <f aca="false">AO5-AO2</f>
        <v>0</v>
      </c>
      <c r="AO4" s="39"/>
      <c r="AP4" s="39"/>
      <c r="AQ4" s="37" t="n">
        <f aca="false">J10</f>
        <v>1</v>
      </c>
      <c r="AR4" s="38" t="n">
        <f aca="false">AS5-AS2</f>
        <v>5</v>
      </c>
      <c r="AS4" s="38" t="n">
        <f aca="false">AT5-AT2</f>
        <v>0</v>
      </c>
      <c r="AT4" s="39"/>
      <c r="AU4" s="39"/>
      <c r="AV4" s="37" t="n">
        <f aca="false">J11</f>
        <v>1</v>
      </c>
      <c r="AW4" s="38" t="n">
        <f aca="false">AX5-AX2</f>
        <v>5</v>
      </c>
      <c r="AX4" s="38" t="n">
        <f aca="false">AY5-AY2</f>
        <v>0</v>
      </c>
      <c r="AY4" s="39"/>
      <c r="AZ4" s="39"/>
      <c r="BA4" s="37" t="n">
        <f aca="false">J13</f>
        <v>2</v>
      </c>
      <c r="BB4" s="38" t="n">
        <f aca="false">BC5-BC2</f>
        <v>5</v>
      </c>
      <c r="BC4" s="38" t="n">
        <f aca="false">BD5-BD2</f>
        <v>0</v>
      </c>
      <c r="BD4" s="39"/>
      <c r="BE4" s="39"/>
      <c r="BF4" s="37" t="n">
        <f aca="false">J14</f>
        <v>2</v>
      </c>
      <c r="BG4" s="38" t="n">
        <f aca="false">BH5-BH2</f>
        <v>5</v>
      </c>
      <c r="BH4" s="38" t="n">
        <f aca="false">BI5-BI2</f>
        <v>0</v>
      </c>
      <c r="BI4" s="39"/>
      <c r="BJ4" s="39"/>
      <c r="BK4" s="37" t="n">
        <f aca="false">J15</f>
        <v>1</v>
      </c>
      <c r="BL4" s="38" t="n">
        <f aca="false">BM5-BM2</f>
        <v>5</v>
      </c>
      <c r="BM4" s="38" t="n">
        <f aca="false">BN5-BN2</f>
        <v>0</v>
      </c>
      <c r="BN4" s="39"/>
      <c r="BO4" s="39"/>
      <c r="BP4" s="37" t="n">
        <f aca="false">J16</f>
        <v>2</v>
      </c>
      <c r="BQ4" s="38" t="n">
        <f aca="false">BR5-BR2</f>
        <v>5</v>
      </c>
      <c r="BR4" s="37" t="n">
        <f aca="false">BU2-BR2</f>
        <v>5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4" t="n">
        <v>2</v>
      </c>
      <c r="I5" s="35" t="n">
        <f aca="false">(100%+(100%-$I$4))/2</f>
        <v>0.7</v>
      </c>
      <c r="J5" s="28" t="n">
        <f aca="false">ROUNDUP(G5/(H5*I5),0)</f>
        <v>3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7</v>
      </c>
      <c r="R5" s="31"/>
      <c r="S5" s="30" t="n">
        <f aca="false">MIN(V11,V5)</f>
        <v>8</v>
      </c>
      <c r="U5" s="41"/>
      <c r="V5" s="30" t="n">
        <f aca="false">X5-V4</f>
        <v>9</v>
      </c>
      <c r="W5" s="31"/>
      <c r="X5" s="30" t="n">
        <f aca="false">AL5</f>
        <v>16</v>
      </c>
      <c r="AK5" s="41"/>
      <c r="AL5" s="30" t="n">
        <f aca="false">AN5-AL4</f>
        <v>16</v>
      </c>
      <c r="AM5" s="31"/>
      <c r="AN5" s="30" t="n">
        <f aca="false">AQ5</f>
        <v>17</v>
      </c>
      <c r="AQ5" s="30" t="n">
        <f aca="false">AS5-AQ4</f>
        <v>17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19</v>
      </c>
      <c r="BA5" s="30" t="n">
        <f aca="false">BC5-BA4</f>
        <v>19</v>
      </c>
      <c r="BB5" s="31"/>
      <c r="BC5" s="30" t="n">
        <f aca="false">BF5</f>
        <v>21</v>
      </c>
      <c r="BF5" s="30" t="n">
        <f aca="false">BH5-BF4</f>
        <v>21</v>
      </c>
      <c r="BG5" s="31"/>
      <c r="BH5" s="30" t="n">
        <f aca="false">BK5</f>
        <v>23</v>
      </c>
      <c r="BK5" s="30" t="n">
        <f aca="false">BM5-BK4</f>
        <v>23</v>
      </c>
      <c r="BL5" s="31"/>
      <c r="BM5" s="30" t="n">
        <f aca="false">BP5</f>
        <v>24</v>
      </c>
      <c r="BP5" s="30" t="n">
        <f aca="false">BR5-BP4</f>
        <v>24</v>
      </c>
      <c r="BQ5" s="31"/>
      <c r="BR5" s="30" t="n">
        <f aca="false">BU5</f>
        <v>26</v>
      </c>
      <c r="BT5" s="41"/>
      <c r="BU5" s="30" t="n">
        <f aca="false">BW5-BU4</f>
        <v>26</v>
      </c>
      <c r="BV5" s="31"/>
      <c r="BW5" s="30" t="n">
        <f aca="false">BW2</f>
        <v>27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34" t="n">
        <v>2</v>
      </c>
      <c r="I6" s="35" t="n">
        <f aca="false">(100%+(100%-$I$4))/2</f>
        <v>0.7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43" t="n">
        <v>2</v>
      </c>
      <c r="I7" s="44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54</v>
      </c>
      <c r="G8" s="43" t="n">
        <v>3</v>
      </c>
      <c r="H8" s="43" t="n">
        <v>1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6</v>
      </c>
      <c r="AA8" s="30" t="n">
        <f aca="false">X8</f>
        <v>6</v>
      </c>
      <c r="AB8" s="31"/>
      <c r="AC8" s="30" t="n">
        <f aca="false">AA8+AA10</f>
        <v>11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55</v>
      </c>
      <c r="F9" s="42" t="s">
        <v>35</v>
      </c>
      <c r="G9" s="43" t="n">
        <v>2</v>
      </c>
      <c r="H9" s="43" t="n">
        <v>3</v>
      </c>
      <c r="I9" s="44" t="n">
        <f aca="false">((2*100%)+(100%-$I$12))/3</f>
        <v>0.833333333333333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3" t="n">
        <v>3</v>
      </c>
      <c r="I10" s="44" t="n">
        <f aca="false">((2*100%)+(100%-$I$12))/3</f>
        <v>0.833333333333333</v>
      </c>
      <c r="J10" s="28" t="n">
        <f aca="false">ROUNDUP(G10/(H10*I10),0)</f>
        <v>1</v>
      </c>
      <c r="P10" s="41"/>
      <c r="U10" s="39"/>
      <c r="V10" s="37" t="n">
        <f aca="false">J5</f>
        <v>3</v>
      </c>
      <c r="W10" s="38" t="n">
        <f aca="false">X11-X8</f>
        <v>5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5</v>
      </c>
      <c r="AC10" s="37" t="n">
        <f aca="false">AL2-AC8</f>
        <v>0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3" t="n">
        <v>3</v>
      </c>
      <c r="I11" s="44" t="n">
        <f aca="false">((2*100%)+(100%-$I$12))/3</f>
        <v>0.833333333333333</v>
      </c>
      <c r="J11" s="28" t="n">
        <f aca="false">ROUNDUP(G11/(H11*I11),0)</f>
        <v>1</v>
      </c>
      <c r="P11" s="41"/>
      <c r="V11" s="30" t="n">
        <f aca="false">X11-V10</f>
        <v>8</v>
      </c>
      <c r="W11" s="31"/>
      <c r="X11" s="30" t="n">
        <f aca="false">AA11</f>
        <v>11</v>
      </c>
      <c r="AA11" s="30" t="n">
        <f aca="false">AC11-AA10</f>
        <v>11</v>
      </c>
      <c r="AB11" s="31"/>
      <c r="AC11" s="30" t="n">
        <f aca="false">AL5</f>
        <v>16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56</v>
      </c>
      <c r="C12" s="32"/>
      <c r="D12" s="32"/>
      <c r="E12" s="42" t="s">
        <v>28</v>
      </c>
      <c r="F12" s="42" t="s">
        <v>44</v>
      </c>
      <c r="G12" s="43" t="n">
        <v>10</v>
      </c>
      <c r="H12" s="43" t="n">
        <v>1</v>
      </c>
      <c r="I12" s="44" t="n">
        <v>0.5</v>
      </c>
      <c r="J12" s="28" t="n">
        <f aca="false">ROUNDUP(G12/(H12*I12),0)</f>
        <v>20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3" t="n">
        <v>3</v>
      </c>
      <c r="I13" s="44" t="n">
        <f aca="false">((2*100%)+(100%-$I$12))/3</f>
        <v>0.833333333333333</v>
      </c>
      <c r="J13" s="28" t="n">
        <f aca="false">ROUNDUP(G13/(H13*I13),0)</f>
        <v>2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3" t="n">
        <v>3</v>
      </c>
      <c r="I14" s="44" t="n">
        <f aca="false">((2*100%)+(100%-$I$12))/3</f>
        <v>0.833333333333333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AK14" s="41"/>
      <c r="AL14" s="30" t="n">
        <f aca="false">X14</f>
        <v>6</v>
      </c>
      <c r="AM14" s="31"/>
      <c r="AN14" s="30" t="n">
        <f aca="false">AL14+AL16</f>
        <v>26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3" t="n">
        <v>3</v>
      </c>
      <c r="I15" s="44" t="n">
        <f aca="false">((2*100%)+(100%-$I$12))/3</f>
        <v>0.833333333333333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5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3" t="n">
        <v>3</v>
      </c>
      <c r="I16" s="44" t="n">
        <f aca="false">((2*100%)+(100%-$I$12))/3</f>
        <v>0.833333333333333</v>
      </c>
      <c r="J16" s="28" t="n">
        <f aca="false">ROUNDUP(G16/(H16*I16),0)</f>
        <v>2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MIN(AL14,AL2)-X14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20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6" t="s">
        <v>45</v>
      </c>
      <c r="C17" s="46"/>
      <c r="D17" s="46"/>
      <c r="E17" s="47" t="s">
        <v>57</v>
      </c>
      <c r="F17" s="48"/>
      <c r="G17" s="49" t="n">
        <v>1</v>
      </c>
      <c r="H17" s="49" t="n">
        <v>1</v>
      </c>
      <c r="I17" s="50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26</v>
      </c>
    </row>
    <row r="19" customFormat="false" ht="12.8" hidden="false" customHeight="false" outlineLevel="0" collapsed="false">
      <c r="A19" s="51" t="s">
        <v>58</v>
      </c>
      <c r="B19" s="52" t="s">
        <v>59</v>
      </c>
      <c r="C19" s="53"/>
      <c r="D19" s="54" t="s">
        <v>60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61</v>
      </c>
      <c r="D21" s="37" t="s">
        <v>62</v>
      </c>
    </row>
    <row r="22" customFormat="false" ht="12.8" hidden="false" customHeight="false" outlineLevel="0" collapsed="false">
      <c r="A22" s="55" t="s">
        <v>63</v>
      </c>
      <c r="B22" s="56" t="s">
        <v>59</v>
      </c>
      <c r="C22" s="57"/>
      <c r="D22" s="58" t="s">
        <v>60</v>
      </c>
    </row>
    <row r="24" customFormat="false" ht="12.8" hidden="false" customHeight="false" outlineLevel="0" collapsed="false">
      <c r="B24" s="59" t="s">
        <v>64</v>
      </c>
      <c r="C24" s="31"/>
      <c r="D24" s="30" t="s">
        <v>65</v>
      </c>
    </row>
    <row r="25" customFormat="false" ht="12.8" hidden="false" customHeight="false" outlineLevel="0" collapsed="false">
      <c r="B25" s="36" t="s">
        <v>66</v>
      </c>
      <c r="C25" s="36"/>
      <c r="D25" s="36"/>
    </row>
    <row r="26" customFormat="false" ht="12.8" hidden="false" customHeight="false" outlineLevel="0" collapsed="false">
      <c r="B26" s="36" t="s">
        <v>67</v>
      </c>
      <c r="C26" s="38" t="s">
        <v>68</v>
      </c>
      <c r="D26" s="37" t="s">
        <v>69</v>
      </c>
    </row>
    <row r="27" customFormat="false" ht="12.8" hidden="false" customHeight="false" outlineLevel="0" collapsed="false">
      <c r="B27" s="59" t="s">
        <v>70</v>
      </c>
      <c r="C27" s="31"/>
      <c r="D27" s="30" t="s">
        <v>71</v>
      </c>
    </row>
    <row r="29" customFormat="false" ht="12.8" hidden="false" customHeight="false" outlineLevel="0" collapsed="false">
      <c r="A29" s="0" t="s">
        <v>64</v>
      </c>
      <c r="B29" s="60" t="s">
        <v>72</v>
      </c>
      <c r="C29" s="61" t="s">
        <v>73</v>
      </c>
      <c r="D29" s="61"/>
    </row>
    <row r="30" customFormat="false" ht="12.8" hidden="false" customHeight="false" outlineLevel="0" collapsed="false">
      <c r="A30" s="0" t="s">
        <v>65</v>
      </c>
      <c r="B30" s="60" t="s">
        <v>72</v>
      </c>
      <c r="C30" s="61" t="s">
        <v>74</v>
      </c>
      <c r="D30" s="61"/>
    </row>
    <row r="31" customFormat="false" ht="12.8" hidden="false" customHeight="false" outlineLevel="0" collapsed="false">
      <c r="B31" s="60"/>
    </row>
    <row r="32" customFormat="false" ht="12.8" hidden="false" customHeight="false" outlineLevel="0" collapsed="false">
      <c r="A32" s="0" t="s">
        <v>65</v>
      </c>
      <c r="B32" s="60" t="s">
        <v>72</v>
      </c>
      <c r="C32" s="61" t="s">
        <v>74</v>
      </c>
      <c r="D32" s="61"/>
    </row>
    <row r="33" customFormat="false" ht="12.8" hidden="false" customHeight="false" outlineLevel="0" collapsed="false">
      <c r="A33" s="0" t="s">
        <v>64</v>
      </c>
      <c r="B33" s="60" t="s">
        <v>72</v>
      </c>
      <c r="C33" s="61" t="s">
        <v>73</v>
      </c>
      <c r="D33" s="61"/>
    </row>
    <row r="34" customFormat="false" ht="12.8" hidden="false" customHeight="false" outlineLevel="0" collapsed="false">
      <c r="B34" s="60"/>
    </row>
    <row r="35" customFormat="false" ht="12.8" hidden="false" customHeight="false" outlineLevel="0" collapsed="false">
      <c r="B35" s="60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V10:W10 BV4 BQ4 BL4:BM4 BG4:BH4 BB4:BC4 AW4:AX4 AR4:AS4 AM4:AN4 AM16 AB10 W16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2022-03-08T08:18:11Z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