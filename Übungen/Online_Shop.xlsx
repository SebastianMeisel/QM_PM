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<sst xmlns="http://schemas.openxmlformats.org/spreadsheetml/2006/main" count="210" uniqueCount="75">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</sst>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@"/>
    <numFmt numFmtId="167" formatCode="0.00\ %"/>
    <numFmt numFmtId="168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93960" y="479520"/>
          <a:ext cx="5554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324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252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7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7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764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7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7208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720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720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720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7208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7208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7208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7208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3652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36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36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36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61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61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61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A1" activeCellId="0" sqref="A1"/>
    </sheetView>
  </sheetViews>
  <sheetFormatPr defaultColWidth="13.07421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I12" activeCellId="0" sqref="I1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8" min="6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8" t="n">
        <v>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7</v>
      </c>
      <c r="AL2" s="30" t="n">
        <f aca="false">MAX(X2,AC8,X14)</f>
        <v>13</v>
      </c>
      <c r="AM2" s="31"/>
      <c r="AN2" s="30" t="n">
        <f aca="false">AL2+AL4</f>
        <v>15</v>
      </c>
      <c r="AQ2" s="30" t="n">
        <f aca="false">AN2</f>
        <v>15</v>
      </c>
      <c r="AR2" s="31"/>
      <c r="AS2" s="30" t="n">
        <f aca="false">AQ2+AQ4</f>
        <v>17</v>
      </c>
      <c r="AV2" s="30" t="n">
        <f aca="false">AS2</f>
        <v>17</v>
      </c>
      <c r="AW2" s="31"/>
      <c r="AX2" s="30" t="n">
        <f aca="false">AV2+AV4</f>
        <v>19</v>
      </c>
      <c r="BA2" s="30" t="n">
        <f aca="false">AX2</f>
        <v>19</v>
      </c>
      <c r="BB2" s="31"/>
      <c r="BC2" s="30" t="n">
        <f aca="false">BA2+BA4</f>
        <v>22</v>
      </c>
      <c r="BF2" s="30" t="n">
        <f aca="false">BC2</f>
        <v>22</v>
      </c>
      <c r="BG2" s="31"/>
      <c r="BH2" s="30" t="n">
        <f aca="false">BF2+BF4</f>
        <v>25</v>
      </c>
      <c r="BK2" s="30" t="n">
        <f aca="false">BH2</f>
        <v>25</v>
      </c>
      <c r="BL2" s="31"/>
      <c r="BM2" s="30" t="n">
        <f aca="false">BK2+BK4</f>
        <v>26</v>
      </c>
      <c r="BP2" s="30" t="n">
        <f aca="false">BM2</f>
        <v>26</v>
      </c>
      <c r="BQ2" s="31"/>
      <c r="BR2" s="30" t="n">
        <f aca="false">BP2+BP4</f>
        <v>31</v>
      </c>
      <c r="BU2" s="30" t="n">
        <f aca="false">MAX(BR2,AN14)</f>
        <v>35</v>
      </c>
      <c r="BV2" s="31"/>
      <c r="BW2" s="30" t="n">
        <f aca="false">BU2+BU4</f>
        <v>36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53</v>
      </c>
      <c r="G3" s="34" t="n">
        <v>1</v>
      </c>
      <c r="H3" s="34" t="n">
        <v>2</v>
      </c>
      <c r="I3" s="35" t="n">
        <v>1</v>
      </c>
      <c r="J3" s="28" t="n">
        <f aca="false">ROUNDUP(G3/(H3*I3),0)</f>
        <v>1</v>
      </c>
      <c r="L3" s="36" t="s">
        <v>16</v>
      </c>
      <c r="M3" s="36"/>
      <c r="N3" s="36"/>
      <c r="Q3" s="36" t="s">
        <v>15</v>
      </c>
      <c r="R3" s="36"/>
      <c r="S3" s="36"/>
      <c r="V3" s="36" t="s">
        <v>21</v>
      </c>
      <c r="W3" s="36"/>
      <c r="X3" s="36"/>
      <c r="AL3" s="36" t="s">
        <v>33</v>
      </c>
      <c r="AM3" s="36"/>
      <c r="AN3" s="36"/>
      <c r="AQ3" s="36" t="s">
        <v>35</v>
      </c>
      <c r="AR3" s="36"/>
      <c r="AS3" s="36"/>
      <c r="AV3" s="36" t="s">
        <v>37</v>
      </c>
      <c r="AW3" s="36"/>
      <c r="AX3" s="36"/>
      <c r="BA3" s="36" t="s">
        <v>23</v>
      </c>
      <c r="BB3" s="36"/>
      <c r="BC3" s="36"/>
      <c r="BF3" s="36" t="s">
        <v>41</v>
      </c>
      <c r="BG3" s="36"/>
      <c r="BH3" s="36"/>
      <c r="BK3" s="36" t="s">
        <v>29</v>
      </c>
      <c r="BL3" s="36"/>
      <c r="BM3" s="36"/>
      <c r="BP3" s="36" t="s">
        <v>43</v>
      </c>
      <c r="BQ3" s="36"/>
      <c r="BR3" s="36"/>
      <c r="BU3" s="36" t="s">
        <v>44</v>
      </c>
      <c r="BV3" s="36"/>
      <c r="BW3" s="36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34" t="n">
        <v>1</v>
      </c>
      <c r="I4" s="35" t="n">
        <v>1</v>
      </c>
      <c r="J4" s="28" t="n">
        <f aca="false">ROUNDUP(G4/(H4*I4),0)</f>
        <v>4</v>
      </c>
      <c r="L4" s="37" t="n">
        <f aca="false">J2</f>
        <v>2</v>
      </c>
      <c r="M4" s="38" t="n">
        <f aca="false">N5-N2</f>
        <v>0</v>
      </c>
      <c r="N4" s="37" t="n">
        <f aca="false">MIN(Q2,Q14)-N2</f>
        <v>0</v>
      </c>
      <c r="O4" s="39"/>
      <c r="P4" s="40"/>
      <c r="Q4" s="37" t="n">
        <f aca="false">J3</f>
        <v>1</v>
      </c>
      <c r="R4" s="38" t="n">
        <f aca="false">S5-S2</f>
        <v>4</v>
      </c>
      <c r="S4" s="37" t="n">
        <f aca="false">V2-S2</f>
        <v>0</v>
      </c>
      <c r="T4" s="39"/>
      <c r="U4" s="40"/>
      <c r="V4" s="37" t="n">
        <f aca="false">J4</f>
        <v>4</v>
      </c>
      <c r="W4" s="38" t="n">
        <f aca="false">X5-X2</f>
        <v>10</v>
      </c>
      <c r="X4" s="37" t="n">
        <f aca="false">AL2-X2</f>
        <v>6</v>
      </c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37" t="n">
        <f aca="false">J9</f>
        <v>2</v>
      </c>
      <c r="AM4" s="38" t="n">
        <f aca="false">AN5-AN2</f>
        <v>4</v>
      </c>
      <c r="AN4" s="38" t="n">
        <f aca="false">AO5-AO2</f>
        <v>0</v>
      </c>
      <c r="AO4" s="39"/>
      <c r="AP4" s="39"/>
      <c r="AQ4" s="37" t="n">
        <f aca="false">J10</f>
        <v>2</v>
      </c>
      <c r="AR4" s="38" t="n">
        <f aca="false">AS5-AS2</f>
        <v>4</v>
      </c>
      <c r="AS4" s="38" t="n">
        <f aca="false">AT5-AT2</f>
        <v>0</v>
      </c>
      <c r="AT4" s="39"/>
      <c r="AU4" s="39"/>
      <c r="AV4" s="37" t="n">
        <f aca="false">J11</f>
        <v>2</v>
      </c>
      <c r="AW4" s="38" t="n">
        <f aca="false">AX5-AX2</f>
        <v>4</v>
      </c>
      <c r="AX4" s="38" t="n">
        <f aca="false">AY5-AY2</f>
        <v>0</v>
      </c>
      <c r="AY4" s="39"/>
      <c r="AZ4" s="39"/>
      <c r="BA4" s="37" t="n">
        <f aca="false">J13</f>
        <v>3</v>
      </c>
      <c r="BB4" s="38" t="n">
        <f aca="false">BC5-BC2</f>
        <v>4</v>
      </c>
      <c r="BC4" s="38" t="n">
        <f aca="false">BD5-BD2</f>
        <v>0</v>
      </c>
      <c r="BD4" s="39"/>
      <c r="BE4" s="39"/>
      <c r="BF4" s="37" t="n">
        <f aca="false">J14</f>
        <v>3</v>
      </c>
      <c r="BG4" s="38" t="n">
        <f aca="false">BH5-BH2</f>
        <v>4</v>
      </c>
      <c r="BH4" s="38" t="n">
        <f aca="false">BI5-BI2</f>
        <v>0</v>
      </c>
      <c r="BI4" s="39"/>
      <c r="BJ4" s="39"/>
      <c r="BK4" s="37" t="n">
        <f aca="false">J15</f>
        <v>1</v>
      </c>
      <c r="BL4" s="38" t="n">
        <f aca="false">BM5-BM2</f>
        <v>4</v>
      </c>
      <c r="BM4" s="38" t="n">
        <f aca="false">BN5-BN2</f>
        <v>0</v>
      </c>
      <c r="BN4" s="39"/>
      <c r="BO4" s="39"/>
      <c r="BP4" s="37" t="n">
        <f aca="false">J16</f>
        <v>5</v>
      </c>
      <c r="BQ4" s="38" t="n">
        <f aca="false">BR5-BR2</f>
        <v>4</v>
      </c>
      <c r="BR4" s="37" t="n">
        <f aca="false">BU2-BR2</f>
        <v>4</v>
      </c>
      <c r="BS4" s="39"/>
      <c r="BT4" s="40"/>
      <c r="BU4" s="37" t="n">
        <f aca="false">J17</f>
        <v>1</v>
      </c>
      <c r="BV4" s="38" t="n">
        <f aca="false">BW5-BW2</f>
        <v>0</v>
      </c>
      <c r="BW4" s="37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34" t="n">
        <v>1</v>
      </c>
      <c r="I5" s="35" t="n">
        <v>1</v>
      </c>
      <c r="J5" s="28" t="n">
        <f aca="false">ROUNDUP(G5/(H5*I5),0)</f>
        <v>3</v>
      </c>
      <c r="L5" s="30" t="n">
        <v>0</v>
      </c>
      <c r="M5" s="31"/>
      <c r="N5" s="30" t="n">
        <f aca="false">MIN(Q5,Q17)</f>
        <v>2</v>
      </c>
      <c r="P5" s="41"/>
      <c r="Q5" s="30" t="n">
        <f aca="false">S5-Q4</f>
        <v>6</v>
      </c>
      <c r="R5" s="31"/>
      <c r="S5" s="30" t="n">
        <f aca="false">MIN(V11,V5)</f>
        <v>7</v>
      </c>
      <c r="U5" s="41"/>
      <c r="V5" s="30" t="n">
        <f aca="false">X5-V4</f>
        <v>13</v>
      </c>
      <c r="W5" s="31"/>
      <c r="X5" s="30" t="n">
        <f aca="false">AL5</f>
        <v>17</v>
      </c>
      <c r="AK5" s="41"/>
      <c r="AL5" s="30" t="n">
        <f aca="false">AN5-AL4</f>
        <v>17</v>
      </c>
      <c r="AM5" s="31"/>
      <c r="AN5" s="30" t="n">
        <f aca="false">AQ5</f>
        <v>19</v>
      </c>
      <c r="AQ5" s="30" t="n">
        <f aca="false">AS5-AQ4</f>
        <v>19</v>
      </c>
      <c r="AR5" s="31"/>
      <c r="AS5" s="30" t="n">
        <f aca="false">AV5</f>
        <v>21</v>
      </c>
      <c r="AV5" s="30" t="n">
        <f aca="false">AX5-AV4</f>
        <v>21</v>
      </c>
      <c r="AW5" s="31"/>
      <c r="AX5" s="30" t="n">
        <f aca="false">BA5</f>
        <v>23</v>
      </c>
      <c r="BA5" s="30" t="n">
        <f aca="false">BC5-BA4</f>
        <v>23</v>
      </c>
      <c r="BB5" s="31"/>
      <c r="BC5" s="30" t="n">
        <f aca="false">BF5</f>
        <v>26</v>
      </c>
      <c r="BF5" s="30" t="n">
        <f aca="false">BH5-BF4</f>
        <v>26</v>
      </c>
      <c r="BG5" s="31"/>
      <c r="BH5" s="30" t="n">
        <f aca="false">BK5</f>
        <v>29</v>
      </c>
      <c r="BK5" s="30" t="n">
        <f aca="false">BM5-BK4</f>
        <v>29</v>
      </c>
      <c r="BL5" s="31"/>
      <c r="BM5" s="30" t="n">
        <f aca="false">BP5</f>
        <v>30</v>
      </c>
      <c r="BP5" s="30" t="n">
        <f aca="false">BR5-BP4</f>
        <v>30</v>
      </c>
      <c r="BQ5" s="31"/>
      <c r="BR5" s="30" t="n">
        <f aca="false">BU5</f>
        <v>35</v>
      </c>
      <c r="BT5" s="41"/>
      <c r="BU5" s="30" t="n">
        <f aca="false">BW5-BU4</f>
        <v>35</v>
      </c>
      <c r="BV5" s="31"/>
      <c r="BW5" s="30" t="n">
        <f aca="false">BW2</f>
        <v>36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2" t="s">
        <v>27</v>
      </c>
      <c r="F6" s="42" t="s">
        <v>33</v>
      </c>
      <c r="G6" s="43" t="n">
        <v>7</v>
      </c>
      <c r="H6" s="34" t="n">
        <v>1</v>
      </c>
      <c r="I6" s="35" t="n">
        <v>1</v>
      </c>
      <c r="J6" s="28" t="n">
        <f aca="false">ROUNDUP(G6/(H6*I6),0)</f>
        <v>7</v>
      </c>
      <c r="P6" s="41"/>
      <c r="U6" s="41"/>
      <c r="AK6" s="41"/>
      <c r="BT6" s="41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43" t="n">
        <v>1</v>
      </c>
      <c r="I7" s="44" t="n">
        <v>1</v>
      </c>
      <c r="J7" s="28" t="n">
        <f aca="false">ROUNDUP(G7/(H7*I7),0)</f>
        <v>1</v>
      </c>
      <c r="P7" s="41"/>
      <c r="U7" s="41"/>
      <c r="AK7" s="41"/>
      <c r="BT7" s="41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2" t="s">
        <v>22</v>
      </c>
      <c r="F8" s="42" t="s">
        <v>54</v>
      </c>
      <c r="G8" s="43" t="n">
        <v>3</v>
      </c>
      <c r="H8" s="43" t="n">
        <v>1</v>
      </c>
      <c r="I8" s="44" t="n">
        <v>1</v>
      </c>
      <c r="J8" s="28" t="n">
        <f aca="false">ROUNDUP(G8/(H8*I8),0)</f>
        <v>3</v>
      </c>
      <c r="P8" s="41"/>
      <c r="U8" s="41"/>
      <c r="V8" s="30" t="n">
        <f aca="false">S2</f>
        <v>3</v>
      </c>
      <c r="W8" s="31"/>
      <c r="X8" s="30" t="n">
        <f aca="false">V8+V10</f>
        <v>6</v>
      </c>
      <c r="AA8" s="30" t="n">
        <f aca="false">X8</f>
        <v>6</v>
      </c>
      <c r="AB8" s="31"/>
      <c r="AC8" s="30" t="n">
        <f aca="false">AA8+AA10</f>
        <v>13</v>
      </c>
      <c r="AK8" s="41"/>
      <c r="BT8" s="41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2" t="s">
        <v>55</v>
      </c>
      <c r="F9" s="42" t="s">
        <v>35</v>
      </c>
      <c r="G9" s="43" t="n">
        <v>2</v>
      </c>
      <c r="H9" s="43" t="n">
        <v>3</v>
      </c>
      <c r="I9" s="44" t="n">
        <f aca="false">((2*100%)+(100%-$I$12))/3</f>
        <v>0.883333333333333</v>
      </c>
      <c r="J9" s="43" t="n">
        <v>2</v>
      </c>
      <c r="P9" s="41"/>
      <c r="U9" s="41"/>
      <c r="V9" s="36" t="s">
        <v>27</v>
      </c>
      <c r="W9" s="36"/>
      <c r="X9" s="36"/>
      <c r="AA9" s="36" t="s">
        <v>32</v>
      </c>
      <c r="AB9" s="36"/>
      <c r="AC9" s="36"/>
      <c r="AK9" s="41"/>
      <c r="BT9" s="41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2" t="s">
        <v>33</v>
      </c>
      <c r="F10" s="42" t="s">
        <v>37</v>
      </c>
      <c r="G10" s="43" t="n">
        <v>2</v>
      </c>
      <c r="H10" s="43" t="n">
        <v>3</v>
      </c>
      <c r="I10" s="44" t="n">
        <f aca="false">((2*100%)+(100%-$I$12))/3</f>
        <v>0.883333333333333</v>
      </c>
      <c r="J10" s="43" t="n">
        <v>2</v>
      </c>
      <c r="P10" s="41"/>
      <c r="U10" s="39"/>
      <c r="V10" s="37" t="n">
        <f aca="false">J5</f>
        <v>3</v>
      </c>
      <c r="W10" s="38" t="n">
        <f aca="false">X11-X8</f>
        <v>4</v>
      </c>
      <c r="X10" s="37" t="n">
        <f aca="false">AA8-X8</f>
        <v>0</v>
      </c>
      <c r="Y10" s="39"/>
      <c r="Z10" s="39"/>
      <c r="AA10" s="37" t="n">
        <f aca="false">J6</f>
        <v>7</v>
      </c>
      <c r="AB10" s="38" t="n">
        <f aca="false">AC11-AC8</f>
        <v>4</v>
      </c>
      <c r="AC10" s="37" t="n">
        <f aca="false">AL2-AC8</f>
        <v>0</v>
      </c>
      <c r="AD10" s="39"/>
      <c r="AE10" s="39"/>
      <c r="AF10" s="39"/>
      <c r="AG10" s="39"/>
      <c r="AH10" s="39"/>
      <c r="AI10" s="39"/>
      <c r="AJ10" s="39"/>
      <c r="AK10" s="41"/>
      <c r="BT10" s="41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2" t="s">
        <v>35</v>
      </c>
      <c r="F11" s="42" t="s">
        <v>23</v>
      </c>
      <c r="G11" s="43" t="n">
        <v>2</v>
      </c>
      <c r="H11" s="43" t="n">
        <v>3</v>
      </c>
      <c r="I11" s="44" t="n">
        <f aca="false">((2*100%)+(100%-$I$12))/3</f>
        <v>0.883333333333333</v>
      </c>
      <c r="J11" s="43" t="n">
        <v>2</v>
      </c>
      <c r="P11" s="41"/>
      <c r="V11" s="30" t="n">
        <f aca="false">X11-V10</f>
        <v>7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17</v>
      </c>
      <c r="AK11" s="41"/>
      <c r="BT11" s="41"/>
    </row>
    <row r="12" customFormat="false" ht="12.8" hidden="false" customHeight="false" outlineLevel="0" collapsed="false">
      <c r="A12" s="14" t="s">
        <v>17</v>
      </c>
      <c r="B12" s="32" t="s">
        <v>56</v>
      </c>
      <c r="C12" s="32"/>
      <c r="D12" s="32"/>
      <c r="E12" s="42" t="s">
        <v>28</v>
      </c>
      <c r="F12" s="42" t="s">
        <v>44</v>
      </c>
      <c r="G12" s="43" t="n">
        <v>10</v>
      </c>
      <c r="H12" s="43" t="n">
        <v>1</v>
      </c>
      <c r="I12" s="44" t="n">
        <v>0.35</v>
      </c>
      <c r="J12" s="28" t="n">
        <f aca="false">ROUNDUP(G12/(H12*I12),0)</f>
        <v>29</v>
      </c>
      <c r="P12" s="41"/>
      <c r="AA12" s="45"/>
      <c r="AK12" s="41"/>
      <c r="BT12" s="41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2" t="s">
        <v>37</v>
      </c>
      <c r="F13" s="42" t="s">
        <v>41</v>
      </c>
      <c r="G13" s="43" t="n">
        <v>3</v>
      </c>
      <c r="H13" s="43" t="n">
        <v>3</v>
      </c>
      <c r="I13" s="44" t="n">
        <f aca="false">((2*100%)+(100%-$I$12))/3</f>
        <v>0.883333333333333</v>
      </c>
      <c r="J13" s="43" t="n">
        <v>3</v>
      </c>
      <c r="P13" s="41"/>
      <c r="AA13" s="45"/>
      <c r="AK13" s="41"/>
      <c r="BT13" s="41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2" t="s">
        <v>23</v>
      </c>
      <c r="F14" s="42" t="s">
        <v>29</v>
      </c>
      <c r="G14" s="43" t="n">
        <v>3</v>
      </c>
      <c r="H14" s="43" t="n">
        <v>3</v>
      </c>
      <c r="I14" s="44" t="n">
        <f aca="false">((2*100%)+(100%-$I$12))/3</f>
        <v>0.883333333333333</v>
      </c>
      <c r="J14" s="43" t="n">
        <v>3</v>
      </c>
      <c r="P14" s="41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6</v>
      </c>
      <c r="AK14" s="41"/>
      <c r="AL14" s="30" t="n">
        <f aca="false">X14</f>
        <v>6</v>
      </c>
      <c r="AM14" s="31"/>
      <c r="AN14" s="30" t="n">
        <f aca="false">AL14+AL16</f>
        <v>35</v>
      </c>
      <c r="BT14" s="41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2" t="s">
        <v>41</v>
      </c>
      <c r="F15" s="42" t="s">
        <v>43</v>
      </c>
      <c r="G15" s="43" t="n">
        <v>1</v>
      </c>
      <c r="H15" s="43" t="n">
        <v>3</v>
      </c>
      <c r="I15" s="44" t="n">
        <f aca="false">((2*100%)+(100%-$I$12))/3</f>
        <v>0.883333333333333</v>
      </c>
      <c r="J15" s="43" t="n">
        <v>1</v>
      </c>
      <c r="P15" s="41"/>
      <c r="Q15" s="36" t="s">
        <v>22</v>
      </c>
      <c r="R15" s="36"/>
      <c r="S15" s="36"/>
      <c r="V15" s="36" t="s">
        <v>28</v>
      </c>
      <c r="W15" s="36"/>
      <c r="X15" s="36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45"/>
      <c r="AL15" s="36" t="s">
        <v>17</v>
      </c>
      <c r="AM15" s="36"/>
      <c r="AN15" s="36"/>
      <c r="BT15" s="41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2" t="s">
        <v>29</v>
      </c>
      <c r="F16" s="42" t="s">
        <v>44</v>
      </c>
      <c r="G16" s="43" t="n">
        <v>5</v>
      </c>
      <c r="H16" s="43" t="n">
        <v>3</v>
      </c>
      <c r="I16" s="44" t="n">
        <f aca="false">((2*100%)+(100%-$I$12))/3</f>
        <v>0.883333333333333</v>
      </c>
      <c r="J16" s="43" t="n">
        <v>5</v>
      </c>
      <c r="P16" s="39"/>
      <c r="Q16" s="37" t="n">
        <f aca="false">J7</f>
        <v>1</v>
      </c>
      <c r="R16" s="38" t="n">
        <f aca="false">S17-S14</f>
        <v>0</v>
      </c>
      <c r="S16" s="37" t="n">
        <f aca="false">V14-S14</f>
        <v>0</v>
      </c>
      <c r="T16" s="39"/>
      <c r="U16" s="39"/>
      <c r="V16" s="37" t="n">
        <f aca="false">J8</f>
        <v>3</v>
      </c>
      <c r="W16" s="38" t="n">
        <f aca="false">X17-X14</f>
        <v>0</v>
      </c>
      <c r="X16" s="37" t="n">
        <f aca="false">MIN(AL14,AL2)-X14</f>
        <v>0</v>
      </c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7" t="n">
        <f aca="false">J12</f>
        <v>29</v>
      </c>
      <c r="AM16" s="38" t="n">
        <f aca="false">AN17-AN14</f>
        <v>0</v>
      </c>
      <c r="AN16" s="37" t="n">
        <f aca="false">BU2-AN14</f>
        <v>0</v>
      </c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</row>
    <row r="17" customFormat="false" ht="12.8" hidden="false" customHeight="false" outlineLevel="0" collapsed="false">
      <c r="A17" s="17" t="s">
        <v>44</v>
      </c>
      <c r="B17" s="46" t="s">
        <v>45</v>
      </c>
      <c r="C17" s="46"/>
      <c r="D17" s="46"/>
      <c r="E17" s="47" t="s">
        <v>57</v>
      </c>
      <c r="F17" s="48"/>
      <c r="G17" s="49" t="n">
        <v>1</v>
      </c>
      <c r="H17" s="49" t="n">
        <v>1</v>
      </c>
      <c r="I17" s="50" t="n">
        <v>1</v>
      </c>
      <c r="J17" s="49" t="n"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6</v>
      </c>
      <c r="AL17" s="30" t="n">
        <f aca="false">AN17-AL16</f>
        <v>6</v>
      </c>
      <c r="AM17" s="31"/>
      <c r="AN17" s="30" t="n">
        <f aca="false">BU5</f>
        <v>35</v>
      </c>
    </row>
    <row r="19" customFormat="false" ht="12.8" hidden="false" customHeight="false" outlineLevel="0" collapsed="false">
      <c r="A19" s="51" t="s">
        <v>58</v>
      </c>
      <c r="B19" s="52" t="s">
        <v>59</v>
      </c>
      <c r="C19" s="53"/>
      <c r="D19" s="54" t="s">
        <v>60</v>
      </c>
    </row>
    <row r="20" customFormat="false" ht="12.8" hidden="false" customHeight="false" outlineLevel="0" collapsed="false">
      <c r="B20" s="36" t="s">
        <v>38</v>
      </c>
      <c r="C20" s="36"/>
      <c r="D20" s="36"/>
    </row>
    <row r="21" customFormat="false" ht="12.8" hidden="false" customHeight="false" outlineLevel="0" collapsed="false">
      <c r="B21" s="36" t="s">
        <v>51</v>
      </c>
      <c r="C21" s="38" t="s">
        <v>61</v>
      </c>
      <c r="D21" s="37" t="s">
        <v>62</v>
      </c>
    </row>
    <row r="22" customFormat="false" ht="12.8" hidden="false" customHeight="false" outlineLevel="0" collapsed="false">
      <c r="A22" s="55" t="s">
        <v>63</v>
      </c>
      <c r="B22" s="56" t="s">
        <v>59</v>
      </c>
      <c r="C22" s="57"/>
      <c r="D22" s="58" t="s">
        <v>60</v>
      </c>
    </row>
    <row r="24" customFormat="false" ht="12.8" hidden="false" customHeight="false" outlineLevel="0" collapsed="false">
      <c r="B24" s="59" t="s">
        <v>64</v>
      </c>
      <c r="C24" s="31"/>
      <c r="D24" s="30" t="s">
        <v>65</v>
      </c>
    </row>
    <row r="25" customFormat="false" ht="12.8" hidden="false" customHeight="false" outlineLevel="0" collapsed="false">
      <c r="B25" s="36" t="s">
        <v>66</v>
      </c>
      <c r="C25" s="36"/>
      <c r="D25" s="36"/>
    </row>
    <row r="26" customFormat="false" ht="12.8" hidden="false" customHeight="false" outlineLevel="0" collapsed="false">
      <c r="B26" s="36" t="s">
        <v>67</v>
      </c>
      <c r="C26" s="38" t="s">
        <v>68</v>
      </c>
      <c r="D26" s="37" t="s">
        <v>69</v>
      </c>
    </row>
    <row r="27" customFormat="false" ht="12.8" hidden="false" customHeight="false" outlineLevel="0" collapsed="false">
      <c r="B27" s="59" t="s">
        <v>70</v>
      </c>
      <c r="C27" s="31"/>
      <c r="D27" s="30" t="s">
        <v>71</v>
      </c>
    </row>
    <row r="29" customFormat="false" ht="12.8" hidden="false" customHeight="false" outlineLevel="0" collapsed="false">
      <c r="A29" s="0" t="s">
        <v>64</v>
      </c>
      <c r="B29" s="60" t="s">
        <v>72</v>
      </c>
      <c r="C29" s="61" t="s">
        <v>73</v>
      </c>
      <c r="D29" s="61"/>
    </row>
    <row r="30" customFormat="false" ht="12.8" hidden="false" customHeight="false" outlineLevel="0" collapsed="false">
      <c r="A30" s="0" t="s">
        <v>65</v>
      </c>
      <c r="B30" s="60" t="s">
        <v>72</v>
      </c>
      <c r="C30" s="61" t="s">
        <v>74</v>
      </c>
      <c r="D30" s="61"/>
    </row>
    <row r="31" customFormat="false" ht="12.8" hidden="false" customHeight="false" outlineLevel="0" collapsed="false">
      <c r="B31" s="60"/>
    </row>
    <row r="32" customFormat="false" ht="12.8" hidden="false" customHeight="false" outlineLevel="0" collapsed="false">
      <c r="A32" s="0" t="s">
        <v>65</v>
      </c>
      <c r="B32" s="60" t="s">
        <v>72</v>
      </c>
      <c r="C32" s="61" t="s">
        <v>74</v>
      </c>
      <c r="D32" s="61"/>
    </row>
    <row r="33" customFormat="false" ht="12.8" hidden="false" customHeight="false" outlineLevel="0" collapsed="false">
      <c r="A33" s="0" t="s">
        <v>64</v>
      </c>
      <c r="B33" s="60" t="s">
        <v>72</v>
      </c>
      <c r="C33" s="61" t="s">
        <v>73</v>
      </c>
      <c r="D33" s="61"/>
    </row>
    <row r="34" customFormat="false" ht="12.8" hidden="false" customHeight="false" outlineLevel="0" collapsed="false">
      <c r="B34" s="60"/>
    </row>
    <row r="35" customFormat="false" ht="12.8" hidden="false" customHeight="false" outlineLevel="0" collapsed="false">
      <c r="B35" s="60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V10:W10 BV4 BQ4 BL4:BM4 BG4:BH4 BB4:BC4 AW4:AX4 AR4:AS4 AM4:AN4 AM16 AB10 W16 W4 R16 R4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1157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2022-03-04T13:20:59Z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