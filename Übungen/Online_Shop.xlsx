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SP" sheetId="1" state="visible" r:id="rId2"/>
    <sheet name="Netzpla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<sst xmlns="http://schemas.openxmlformats.org/spreadsheetml/2006/main" count="210" uniqueCount="75">
  <si>
    <t xml:space="preserve">Beispiel: Funktionsorientierter Projektstrukturplan</t>
  </si>
  <si>
    <t xml:space="preserve">Online-Shop</t>
  </si>
  <si>
    <t xml:space="preserve">Fr. Claire</t>
  </si>
  <si>
    <t xml:space="preserve">Produkt-Katalogisierung</t>
  </si>
  <si>
    <t xml:space="preserve">Entwicklung</t>
  </si>
  <si>
    <t xml:space="preserve">Dokumentation, Tests,
Kundenbetreuung</t>
  </si>
  <si>
    <t xml:space="preserve">1.1</t>
  </si>
  <si>
    <t xml:space="preserve">Hr. Karl</t>
  </si>
  <si>
    <t xml:space="preserve">1.2</t>
  </si>
  <si>
    <t xml:space="preserve">Fr. Groß</t>
  </si>
  <si>
    <t xml:space="preserve">1.3</t>
  </si>
  <si>
    <t xml:space="preserve">Hr. Nguyen</t>
  </si>
  <si>
    <t xml:space="preserve">Produkte kategorisieren</t>
  </si>
  <si>
    <t xml:space="preserve">Datenbank erstellen</t>
  </si>
  <si>
    <t xml:space="preserve">Handbücher erstellen</t>
  </si>
  <si>
    <t xml:space="preserve">1.1.1</t>
  </si>
  <si>
    <t xml:space="preserve">1.2.1</t>
  </si>
  <si>
    <t xml:space="preserve">1.3.1</t>
  </si>
  <si>
    <t xml:space="preserve">Produkte erfassen</t>
  </si>
  <si>
    <t xml:space="preserve">Template auswählen</t>
  </si>
  <si>
    <t xml:space="preserve">Tests</t>
  </si>
  <si>
    <t xml:space="preserve">1.1.2</t>
  </si>
  <si>
    <t xml:space="preserve">1.2.2</t>
  </si>
  <si>
    <t xml:space="preserve">1.3.2</t>
  </si>
  <si>
    <t xml:space="preserve">Produktfotos erstellen</t>
  </si>
  <si>
    <t xml:space="preserve">Seitenstruktur einrichten</t>
  </si>
  <si>
    <t xml:space="preserve">Auftraggeber-Präsentation</t>
  </si>
  <si>
    <t xml:space="preserve">1.1.3</t>
  </si>
  <si>
    <t xml:space="preserve">1.2.3</t>
  </si>
  <si>
    <t xml:space="preserve">1.3.3</t>
  </si>
  <si>
    <t xml:space="preserve">Produktfotos bearbeiten</t>
  </si>
  <si>
    <t xml:space="preserve">Datenbank einbinden</t>
  </si>
  <si>
    <t xml:space="preserve">1.1.4</t>
  </si>
  <si>
    <t xml:space="preserve">1.2.4</t>
  </si>
  <si>
    <t xml:space="preserve">Zahlungsdienste einbinden</t>
  </si>
  <si>
    <t xml:space="preserve">1.2.5</t>
  </si>
  <si>
    <t xml:space="preserve">Bewertungssystem anpassen</t>
  </si>
  <si>
    <t xml:space="preserve">1.2.6</t>
  </si>
  <si>
    <t xml:space="preserve">PSP-ID</t>
  </si>
  <si>
    <t xml:space="preserve">Arbeitspaket</t>
  </si>
  <si>
    <t xml:space="preserve">Korrekturen</t>
  </si>
  <si>
    <t xml:space="preserve">1.2.7</t>
  </si>
  <si>
    <t xml:space="preserve">eventuelle Korrekturen</t>
  </si>
  <si>
    <t xml:space="preserve">1.2.8</t>
  </si>
  <si>
    <t xml:space="preserve">1.2.9</t>
  </si>
  <si>
    <t xml:space="preserve">Onlinestellung</t>
  </si>
  <si>
    <t xml:space="preserve">Vorgänger</t>
  </si>
  <si>
    <t xml:space="preserve">Nachfolger</t>
  </si>
  <si>
    <t xml:space="preserve">Aufwand</t>
  </si>
  <si>
    <t xml:space="preserve">Personen</t>
  </si>
  <si>
    <t xml:space="preserve">Kapazität</t>
  </si>
  <si>
    <t xml:space="preserve">Dauer</t>
  </si>
  <si>
    <t xml:space="preserve">1.1.1, 1.2.2</t>
  </si>
  <si>
    <t xml:space="preserve">1.1.2, 1.1.3</t>
  </si>
  <si>
    <t xml:space="preserve">1.2.4, 1.3.1</t>
  </si>
  <si>
    <t xml:space="preserve">1.1.2, 1.1.4, 1.2.3</t>
  </si>
  <si>
    <t xml:space="preserve">Onlinehilfe erstellen</t>
  </si>
  <si>
    <t xml:space="preserve">1.3.1, 1.2.8</t>
  </si>
  <si>
    <t xml:space="preserve">Früheste</t>
  </si>
  <si>
    <t xml:space="preserve">Anfangszeit</t>
  </si>
  <si>
    <t xml:space="preserve">Endzeit</t>
  </si>
  <si>
    <t xml:space="preserve">Gesamtpuffer</t>
  </si>
  <si>
    <t xml:space="preserve">Freier Puffer</t>
  </si>
  <si>
    <t xml:space="preserve">Späteste</t>
  </si>
  <si>
    <t xml:space="preserve">FAZ</t>
  </si>
  <si>
    <t xml:space="preserve">FEZ</t>
  </si>
  <si>
    <t xml:space="preserve">ID</t>
  </si>
  <si>
    <t xml:space="preserve">D</t>
  </si>
  <si>
    <t xml:space="preserve">GP</t>
  </si>
  <si>
    <t xml:space="preserve">FP</t>
  </si>
  <si>
    <t xml:space="preserve">SAZ</t>
  </si>
  <si>
    <t xml:space="preserve">SEZ</t>
  </si>
  <si>
    <t xml:space="preserve">=</t>
  </si>
  <si>
    <t xml:space="preserve">FEZ_Vorgänger</t>
  </si>
  <si>
    <t xml:space="preserve">FAZ + 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</si>
</sst>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BF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BF00"/>
        <bgColor rgb="FFFF8000"/>
      </patternFill>
    </fill>
    <fill>
      <patternFill patternType="solid">
        <fgColor rgb="FF666666"/>
        <bgColor rgb="FF808080"/>
      </patternFill>
    </fill>
    <fill>
      <patternFill patternType="solid">
        <fgColor rgb="FFEEEEEE"/>
        <bgColor rgb="FFE8E8E8"/>
      </patternFill>
    </fill>
    <fill>
      <patternFill patternType="solid">
        <fgColor rgb="FFAADCF7"/>
        <bgColor rgb="FFCCCCFF"/>
      </patternFill>
    </fill>
    <fill>
      <patternFill patternType="solid">
        <fgColor rgb="FFE8E8E8"/>
        <bgColor rgb="FFEEEEEE"/>
      </patternFill>
    </fill>
    <fill>
      <patternFill patternType="solid">
        <fgColor rgb="FF00A933"/>
        <bgColor rgb="FF008000"/>
      </patternFill>
    </fill>
    <fill>
      <patternFill patternType="solid">
        <fgColor rgb="FFFF8000"/>
        <bgColor rgb="FFFF66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antt-Balken" xfId="20"/>
    <cellStyle name="KritischerPfad" xfId="21"/>
    <cellStyle name="Wochenende" xfId="22"/>
  </cellStyles>
  <dxfs count="1">
    <dxf>
      <font>
        <name val="Arial"/>
        <charset val="1"/>
        <family val="2"/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66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907560</xdr:colOff>
      <xdr:row>2</xdr:row>
      <xdr:rowOff>154440</xdr:rowOff>
    </xdr:from>
    <xdr:to>
      <xdr:col>12</xdr:col>
      <xdr:colOff>11880</xdr:colOff>
      <xdr:row>2</xdr:row>
      <xdr:rowOff>154440</xdr:rowOff>
    </xdr:to>
    <xdr:sp>
      <xdr:nvSpPr>
        <xdr:cNvPr id="0" name=""/>
        <xdr:cNvSpPr/>
      </xdr:nvSpPr>
      <xdr:spPr>
        <a:xfrm flipH="1">
          <a:off x="5493960" y="479520"/>
          <a:ext cx="5554080" cy="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906840</xdr:colOff>
      <xdr:row>3</xdr:row>
      <xdr:rowOff>720</xdr:rowOff>
    </xdr:from>
    <xdr:to>
      <xdr:col>5</xdr:col>
      <xdr:colOff>906840</xdr:colOff>
      <xdr:row>4</xdr:row>
      <xdr:rowOff>8640</xdr:rowOff>
    </xdr:to>
    <xdr:sp>
      <xdr:nvSpPr>
        <xdr:cNvPr id="1" name=""/>
        <xdr:cNvSpPr/>
      </xdr:nvSpPr>
      <xdr:spPr>
        <a:xfrm>
          <a:off x="5493240" y="488160"/>
          <a:ext cx="0" cy="1706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906120</xdr:colOff>
      <xdr:row>3</xdr:row>
      <xdr:rowOff>720</xdr:rowOff>
    </xdr:from>
    <xdr:to>
      <xdr:col>5</xdr:col>
      <xdr:colOff>906120</xdr:colOff>
      <xdr:row>4</xdr:row>
      <xdr:rowOff>8640</xdr:rowOff>
    </xdr:to>
    <xdr:sp>
      <xdr:nvSpPr>
        <xdr:cNvPr id="2" name=""/>
        <xdr:cNvSpPr/>
      </xdr:nvSpPr>
      <xdr:spPr>
        <a:xfrm>
          <a:off x="5492520" y="4881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4680</xdr:rowOff>
    </xdr:from>
    <xdr:to>
      <xdr:col>6</xdr:col>
      <xdr:colOff>0</xdr:colOff>
      <xdr:row>7</xdr:row>
      <xdr:rowOff>12960</xdr:rowOff>
    </xdr:to>
    <xdr:sp>
      <xdr:nvSpPr>
        <xdr:cNvPr id="3" name=""/>
        <xdr:cNvSpPr/>
      </xdr:nvSpPr>
      <xdr:spPr>
        <a:xfrm>
          <a:off x="5507640" y="11253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4680</xdr:rowOff>
    </xdr:from>
    <xdr:to>
      <xdr:col>6</xdr:col>
      <xdr:colOff>0</xdr:colOff>
      <xdr:row>10</xdr:row>
      <xdr:rowOff>12600</xdr:rowOff>
    </xdr:to>
    <xdr:sp>
      <xdr:nvSpPr>
        <xdr:cNvPr id="4" name=""/>
        <xdr:cNvSpPr/>
      </xdr:nvSpPr>
      <xdr:spPr>
        <a:xfrm>
          <a:off x="5507640" y="16128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3960</xdr:rowOff>
    </xdr:from>
    <xdr:to>
      <xdr:col>6</xdr:col>
      <xdr:colOff>0</xdr:colOff>
      <xdr:row>13</xdr:row>
      <xdr:rowOff>11880</xdr:rowOff>
    </xdr:to>
    <xdr:sp>
      <xdr:nvSpPr>
        <xdr:cNvPr id="5" name=""/>
        <xdr:cNvSpPr/>
      </xdr:nvSpPr>
      <xdr:spPr>
        <a:xfrm>
          <a:off x="5507640" y="209988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15</xdr:row>
      <xdr:rowOff>3600</xdr:rowOff>
    </xdr:from>
    <xdr:to>
      <xdr:col>6</xdr:col>
      <xdr:colOff>0</xdr:colOff>
      <xdr:row>16</xdr:row>
      <xdr:rowOff>11880</xdr:rowOff>
    </xdr:to>
    <xdr:sp>
      <xdr:nvSpPr>
        <xdr:cNvPr id="6" name=""/>
        <xdr:cNvSpPr/>
      </xdr:nvSpPr>
      <xdr:spPr>
        <a:xfrm>
          <a:off x="5507640" y="25873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2</xdr:row>
      <xdr:rowOff>-360</xdr:rowOff>
    </xdr:from>
    <xdr:to>
      <xdr:col>9</xdr:col>
      <xdr:colOff>0</xdr:colOff>
      <xdr:row>3</xdr:row>
      <xdr:rowOff>7920</xdr:rowOff>
    </xdr:to>
    <xdr:sp>
      <xdr:nvSpPr>
        <xdr:cNvPr id="7" name=""/>
        <xdr:cNvSpPr/>
      </xdr:nvSpPr>
      <xdr:spPr>
        <a:xfrm>
          <a:off x="8272080" y="3247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0</xdr:colOff>
      <xdr:row>4</xdr:row>
      <xdr:rowOff>7920</xdr:rowOff>
    </xdr:to>
    <xdr:sp>
      <xdr:nvSpPr>
        <xdr:cNvPr id="8" name=""/>
        <xdr:cNvSpPr/>
      </xdr:nvSpPr>
      <xdr:spPr>
        <a:xfrm>
          <a:off x="8272080" y="48744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6</xdr:row>
      <xdr:rowOff>4680</xdr:rowOff>
    </xdr:from>
    <xdr:to>
      <xdr:col>9</xdr:col>
      <xdr:colOff>0</xdr:colOff>
      <xdr:row>7</xdr:row>
      <xdr:rowOff>12960</xdr:rowOff>
    </xdr:to>
    <xdr:sp>
      <xdr:nvSpPr>
        <xdr:cNvPr id="9" name=""/>
        <xdr:cNvSpPr/>
      </xdr:nvSpPr>
      <xdr:spPr>
        <a:xfrm>
          <a:off x="8272080" y="11253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9</xdr:row>
      <xdr:rowOff>4680</xdr:rowOff>
    </xdr:from>
    <xdr:to>
      <xdr:col>9</xdr:col>
      <xdr:colOff>0</xdr:colOff>
      <xdr:row>10</xdr:row>
      <xdr:rowOff>12600</xdr:rowOff>
    </xdr:to>
    <xdr:sp>
      <xdr:nvSpPr>
        <xdr:cNvPr id="10" name=""/>
        <xdr:cNvSpPr/>
      </xdr:nvSpPr>
      <xdr:spPr>
        <a:xfrm>
          <a:off x="8272080" y="16128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15</xdr:row>
      <xdr:rowOff>3600</xdr:rowOff>
    </xdr:from>
    <xdr:to>
      <xdr:col>9</xdr:col>
      <xdr:colOff>0</xdr:colOff>
      <xdr:row>16</xdr:row>
      <xdr:rowOff>11880</xdr:rowOff>
    </xdr:to>
    <xdr:sp>
      <xdr:nvSpPr>
        <xdr:cNvPr id="11" name=""/>
        <xdr:cNvSpPr/>
      </xdr:nvSpPr>
      <xdr:spPr>
        <a:xfrm>
          <a:off x="8272080" y="25873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18</xdr:row>
      <xdr:rowOff>3240</xdr:rowOff>
    </xdr:from>
    <xdr:to>
      <xdr:col>9</xdr:col>
      <xdr:colOff>0</xdr:colOff>
      <xdr:row>19</xdr:row>
      <xdr:rowOff>11160</xdr:rowOff>
    </xdr:to>
    <xdr:sp>
      <xdr:nvSpPr>
        <xdr:cNvPr id="12" name=""/>
        <xdr:cNvSpPr/>
      </xdr:nvSpPr>
      <xdr:spPr>
        <a:xfrm>
          <a:off x="8272080" y="30744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24</xdr:row>
      <xdr:rowOff>2160</xdr:rowOff>
    </xdr:from>
    <xdr:to>
      <xdr:col>9</xdr:col>
      <xdr:colOff>0</xdr:colOff>
      <xdr:row>25</xdr:row>
      <xdr:rowOff>10440</xdr:rowOff>
    </xdr:to>
    <xdr:sp>
      <xdr:nvSpPr>
        <xdr:cNvPr id="13" name=""/>
        <xdr:cNvSpPr/>
      </xdr:nvSpPr>
      <xdr:spPr>
        <a:xfrm>
          <a:off x="8272080" y="40489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30</xdr:row>
      <xdr:rowOff>1440</xdr:rowOff>
    </xdr:from>
    <xdr:to>
      <xdr:col>9</xdr:col>
      <xdr:colOff>0</xdr:colOff>
      <xdr:row>31</xdr:row>
      <xdr:rowOff>9360</xdr:rowOff>
    </xdr:to>
    <xdr:sp>
      <xdr:nvSpPr>
        <xdr:cNvPr id="14" name=""/>
        <xdr:cNvSpPr/>
      </xdr:nvSpPr>
      <xdr:spPr>
        <a:xfrm>
          <a:off x="8272080" y="502344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3</xdr:row>
      <xdr:rowOff>0</xdr:rowOff>
    </xdr:from>
    <xdr:to>
      <xdr:col>12</xdr:col>
      <xdr:colOff>360</xdr:colOff>
      <xdr:row>4</xdr:row>
      <xdr:rowOff>7920</xdr:rowOff>
    </xdr:to>
    <xdr:sp>
      <xdr:nvSpPr>
        <xdr:cNvPr id="15" name=""/>
        <xdr:cNvSpPr/>
      </xdr:nvSpPr>
      <xdr:spPr>
        <a:xfrm>
          <a:off x="11036520" y="48744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6</xdr:row>
      <xdr:rowOff>4680</xdr:rowOff>
    </xdr:from>
    <xdr:to>
      <xdr:col>12</xdr:col>
      <xdr:colOff>360</xdr:colOff>
      <xdr:row>7</xdr:row>
      <xdr:rowOff>12960</xdr:rowOff>
    </xdr:to>
    <xdr:sp>
      <xdr:nvSpPr>
        <xdr:cNvPr id="16" name=""/>
        <xdr:cNvSpPr/>
      </xdr:nvSpPr>
      <xdr:spPr>
        <a:xfrm>
          <a:off x="11036520" y="11253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9</xdr:row>
      <xdr:rowOff>4680</xdr:rowOff>
    </xdr:from>
    <xdr:to>
      <xdr:col>12</xdr:col>
      <xdr:colOff>360</xdr:colOff>
      <xdr:row>10</xdr:row>
      <xdr:rowOff>12600</xdr:rowOff>
    </xdr:to>
    <xdr:sp>
      <xdr:nvSpPr>
        <xdr:cNvPr id="17" name=""/>
        <xdr:cNvSpPr/>
      </xdr:nvSpPr>
      <xdr:spPr>
        <a:xfrm>
          <a:off x="11036520" y="16128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12</xdr:row>
      <xdr:rowOff>3960</xdr:rowOff>
    </xdr:from>
    <xdr:to>
      <xdr:col>12</xdr:col>
      <xdr:colOff>360</xdr:colOff>
      <xdr:row>13</xdr:row>
      <xdr:rowOff>11880</xdr:rowOff>
    </xdr:to>
    <xdr:sp>
      <xdr:nvSpPr>
        <xdr:cNvPr id="18" name=""/>
        <xdr:cNvSpPr/>
      </xdr:nvSpPr>
      <xdr:spPr>
        <a:xfrm>
          <a:off x="11036520" y="209988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911160</xdr:colOff>
      <xdr:row>20</xdr:row>
      <xdr:rowOff>160920</xdr:rowOff>
    </xdr:from>
    <xdr:to>
      <xdr:col>8</xdr:col>
      <xdr:colOff>911160</xdr:colOff>
      <xdr:row>22</xdr:row>
      <xdr:rowOff>6480</xdr:rowOff>
    </xdr:to>
    <xdr:sp>
      <xdr:nvSpPr>
        <xdr:cNvPr id="19" name=""/>
        <xdr:cNvSpPr/>
      </xdr:nvSpPr>
      <xdr:spPr>
        <a:xfrm>
          <a:off x="8261640" y="35575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911160</xdr:colOff>
      <xdr:row>26</xdr:row>
      <xdr:rowOff>161640</xdr:rowOff>
    </xdr:from>
    <xdr:to>
      <xdr:col>8</xdr:col>
      <xdr:colOff>911160</xdr:colOff>
      <xdr:row>28</xdr:row>
      <xdr:rowOff>7200</xdr:rowOff>
    </xdr:to>
    <xdr:sp>
      <xdr:nvSpPr>
        <xdr:cNvPr id="20" name=""/>
        <xdr:cNvSpPr/>
      </xdr:nvSpPr>
      <xdr:spPr>
        <a:xfrm>
          <a:off x="8261640" y="453348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911160</xdr:colOff>
      <xdr:row>11</xdr:row>
      <xdr:rowOff>160200</xdr:rowOff>
    </xdr:from>
    <xdr:to>
      <xdr:col>8</xdr:col>
      <xdr:colOff>911160</xdr:colOff>
      <xdr:row>13</xdr:row>
      <xdr:rowOff>5760</xdr:rowOff>
    </xdr:to>
    <xdr:sp>
      <xdr:nvSpPr>
        <xdr:cNvPr id="21" name=""/>
        <xdr:cNvSpPr/>
      </xdr:nvSpPr>
      <xdr:spPr>
        <a:xfrm>
          <a:off x="8261640" y="20937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07421875" defaultRowHeight="12.8" zeroHeight="false" outlineLevelRow="0" outlineLevelCol="0"/>
  <cols>
    <col collapsed="false" customWidth="true" hidden="false" outlineLevel="0" max="2" min="2" style="1" width="12.77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4" t="s">
        <v>1</v>
      </c>
      <c r="J1" s="4"/>
      <c r="K1" s="3"/>
      <c r="L1" s="3"/>
      <c r="M1" s="3"/>
    </row>
    <row r="2" customFormat="false" ht="12.8" hidden="false" customHeight="false" outlineLevel="0" collapsed="false">
      <c r="F2" s="3"/>
      <c r="G2" s="3"/>
      <c r="H2" s="3"/>
      <c r="I2" s="5" t="n">
        <v>1</v>
      </c>
      <c r="J2" s="5" t="s">
        <v>2</v>
      </c>
      <c r="K2" s="3"/>
      <c r="L2" s="3"/>
      <c r="M2" s="3"/>
    </row>
    <row r="3" customFormat="false" ht="12.8" hidden="false" customHeight="false" outlineLevel="0" collapsed="false">
      <c r="F3" s="3"/>
      <c r="G3" s="3"/>
      <c r="H3" s="3"/>
      <c r="I3" s="3"/>
      <c r="J3" s="3"/>
      <c r="K3" s="3"/>
      <c r="L3" s="3"/>
      <c r="M3" s="3"/>
    </row>
    <row r="4" customFormat="false" ht="12.8" hidden="false" customHeight="false" outlineLevel="0" collapsed="false">
      <c r="F4" s="3"/>
      <c r="G4" s="3"/>
      <c r="H4" s="3"/>
      <c r="I4" s="3"/>
      <c r="J4" s="3"/>
      <c r="K4" s="3"/>
      <c r="L4" s="3"/>
      <c r="M4" s="3"/>
    </row>
    <row r="5" customFormat="false" ht="24.25" hidden="false" customHeight="true" outlineLevel="0" collapsed="false">
      <c r="F5" s="4" t="s">
        <v>3</v>
      </c>
      <c r="G5" s="4"/>
      <c r="H5" s="3"/>
      <c r="I5" s="4" t="s">
        <v>4</v>
      </c>
      <c r="J5" s="4"/>
      <c r="K5" s="3"/>
      <c r="L5" s="6" t="s">
        <v>5</v>
      </c>
      <c r="M5" s="6"/>
    </row>
    <row r="6" customFormat="false" ht="12.8" hidden="false" customHeight="false" outlineLevel="0" collapsed="false">
      <c r="F6" s="5" t="s">
        <v>6</v>
      </c>
      <c r="G6" s="5" t="s">
        <v>7</v>
      </c>
      <c r="H6" s="3"/>
      <c r="I6" s="5" t="s">
        <v>8</v>
      </c>
      <c r="J6" s="5" t="s">
        <v>9</v>
      </c>
      <c r="K6" s="3"/>
      <c r="L6" s="5" t="s">
        <v>10</v>
      </c>
      <c r="M6" s="5" t="s">
        <v>11</v>
      </c>
    </row>
    <row r="8" customFormat="false" ht="12.8" hidden="false" customHeight="false" outlineLevel="0" collapsed="false">
      <c r="F8" s="4" t="s">
        <v>12</v>
      </c>
      <c r="G8" s="4"/>
      <c r="I8" s="4" t="s">
        <v>13</v>
      </c>
      <c r="J8" s="4"/>
      <c r="L8" s="4" t="s">
        <v>14</v>
      </c>
      <c r="M8" s="4"/>
    </row>
    <row r="9" customFormat="false" ht="12.8" hidden="false" customHeight="false" outlineLevel="0" collapsed="false">
      <c r="F9" s="5" t="s">
        <v>15</v>
      </c>
      <c r="G9" s="5" t="s">
        <v>7</v>
      </c>
      <c r="I9" s="5" t="s">
        <v>16</v>
      </c>
      <c r="J9" s="5" t="s">
        <v>9</v>
      </c>
      <c r="L9" s="7" t="s">
        <v>17</v>
      </c>
      <c r="M9" s="5" t="s">
        <v>11</v>
      </c>
    </row>
    <row r="11" customFormat="false" ht="12.8" hidden="false" customHeight="false" outlineLevel="0" collapsed="false">
      <c r="F11" s="4" t="s">
        <v>18</v>
      </c>
      <c r="G11" s="4"/>
      <c r="I11" s="4" t="s">
        <v>19</v>
      </c>
      <c r="J11" s="4"/>
      <c r="L11" s="4" t="s">
        <v>20</v>
      </c>
      <c r="M11" s="4"/>
    </row>
    <row r="12" customFormat="false" ht="12.8" hidden="false" customHeight="false" outlineLevel="0" collapsed="false">
      <c r="F12" s="5" t="s">
        <v>21</v>
      </c>
      <c r="G12" s="5" t="s">
        <v>7</v>
      </c>
      <c r="I12" s="5" t="s">
        <v>22</v>
      </c>
      <c r="J12" s="5" t="s">
        <v>9</v>
      </c>
      <c r="L12" s="7" t="s">
        <v>23</v>
      </c>
      <c r="M12" s="5" t="s">
        <v>11</v>
      </c>
    </row>
    <row r="14" customFormat="false" ht="12.8" hidden="false" customHeight="false" outlineLevel="0" collapsed="false">
      <c r="F14" s="4" t="s">
        <v>24</v>
      </c>
      <c r="G14" s="4"/>
      <c r="I14" s="4" t="s">
        <v>25</v>
      </c>
      <c r="J14" s="4"/>
      <c r="L14" s="4" t="s">
        <v>26</v>
      </c>
      <c r="M14" s="4"/>
    </row>
    <row r="15" customFormat="false" ht="12.8" hidden="false" customHeight="false" outlineLevel="0" collapsed="false">
      <c r="F15" s="5" t="s">
        <v>27</v>
      </c>
      <c r="G15" s="5" t="s">
        <v>7</v>
      </c>
      <c r="I15" s="5" t="s">
        <v>28</v>
      </c>
      <c r="J15" s="5" t="s">
        <v>9</v>
      </c>
      <c r="L15" s="7" t="s">
        <v>29</v>
      </c>
      <c r="M15" s="5" t="s">
        <v>11</v>
      </c>
    </row>
    <row r="17" customFormat="false" ht="12.8" hidden="false" customHeight="false" outlineLevel="0" collapsed="false">
      <c r="F17" s="4" t="s">
        <v>30</v>
      </c>
      <c r="G17" s="4"/>
      <c r="I17" s="4" t="s">
        <v>31</v>
      </c>
      <c r="J17" s="4"/>
    </row>
    <row r="18" customFormat="false" ht="12.8" hidden="false" customHeight="false" outlineLevel="0" collapsed="false">
      <c r="F18" s="5" t="s">
        <v>32</v>
      </c>
      <c r="G18" s="5" t="s">
        <v>7</v>
      </c>
      <c r="I18" s="5" t="s">
        <v>33</v>
      </c>
      <c r="J18" s="5" t="s">
        <v>9</v>
      </c>
    </row>
    <row r="20" customFormat="false" ht="12.8" hidden="false" customHeight="false" outlineLevel="0" collapsed="false">
      <c r="I20" s="4" t="s">
        <v>34</v>
      </c>
      <c r="J20" s="4"/>
    </row>
    <row r="21" customFormat="false" ht="12.8" hidden="false" customHeight="false" outlineLevel="0" collapsed="false">
      <c r="I21" s="5" t="s">
        <v>35</v>
      </c>
      <c r="J21" s="5" t="s">
        <v>9</v>
      </c>
    </row>
    <row r="23" customFormat="false" ht="12.8" hidden="false" customHeight="false" outlineLevel="0" collapsed="false">
      <c r="I23" s="4" t="s">
        <v>36</v>
      </c>
      <c r="J23" s="4"/>
    </row>
    <row r="24" customFormat="false" ht="12.8" hidden="false" customHeight="false" outlineLevel="0" collapsed="false">
      <c r="I24" s="5" t="s">
        <v>37</v>
      </c>
      <c r="J24" s="5" t="s">
        <v>9</v>
      </c>
    </row>
    <row r="25" customFormat="false" ht="12.8" hidden="false" customHeight="false" outlineLevel="0" collapsed="false">
      <c r="A25" s="8" t="s">
        <v>38</v>
      </c>
      <c r="B25" s="9" t="s">
        <v>39</v>
      </c>
      <c r="C25" s="9"/>
      <c r="D25" s="9"/>
      <c r="E25" s="10"/>
      <c r="F25" s="10"/>
    </row>
    <row r="26" customFormat="false" ht="12.8" hidden="false" customHeight="false" outlineLevel="0" collapsed="false">
      <c r="A26" s="11" t="s">
        <v>16</v>
      </c>
      <c r="B26" s="12" t="s">
        <v>13</v>
      </c>
      <c r="C26" s="12"/>
      <c r="D26" s="12"/>
      <c r="E26" s="13"/>
      <c r="F26" s="13"/>
      <c r="I26" s="4" t="s">
        <v>40</v>
      </c>
      <c r="J26" s="4"/>
    </row>
    <row r="27" customFormat="false" ht="12.8" hidden="false" customHeight="false" outlineLevel="0" collapsed="false">
      <c r="A27" s="14" t="s">
        <v>15</v>
      </c>
      <c r="B27" s="15" t="s">
        <v>12</v>
      </c>
      <c r="C27" s="15"/>
      <c r="D27" s="15"/>
      <c r="E27" s="16"/>
      <c r="F27" s="16"/>
      <c r="I27" s="5" t="s">
        <v>41</v>
      </c>
      <c r="J27" s="5" t="s">
        <v>9</v>
      </c>
    </row>
    <row r="28" customFormat="false" ht="12.8" hidden="false" customHeight="false" outlineLevel="0" collapsed="false">
      <c r="A28" s="14" t="s">
        <v>21</v>
      </c>
      <c r="B28" s="15" t="s">
        <v>18</v>
      </c>
      <c r="C28" s="15"/>
      <c r="D28" s="15"/>
      <c r="E28" s="16"/>
      <c r="F28" s="16"/>
    </row>
    <row r="29" customFormat="false" ht="12.8" hidden="false" customHeight="false" outlineLevel="0" collapsed="false">
      <c r="A29" s="14" t="s">
        <v>27</v>
      </c>
      <c r="B29" s="15" t="s">
        <v>24</v>
      </c>
      <c r="C29" s="15"/>
      <c r="D29" s="15"/>
      <c r="E29" s="16"/>
      <c r="F29" s="16"/>
      <c r="I29" s="4" t="s">
        <v>42</v>
      </c>
      <c r="J29" s="4"/>
    </row>
    <row r="30" customFormat="false" ht="12.8" hidden="false" customHeight="false" outlineLevel="0" collapsed="false">
      <c r="A30" s="14" t="s">
        <v>32</v>
      </c>
      <c r="B30" s="15" t="s">
        <v>30</v>
      </c>
      <c r="C30" s="15"/>
      <c r="D30" s="15"/>
      <c r="E30" s="15"/>
      <c r="F30" s="15"/>
      <c r="I30" s="5" t="s">
        <v>43</v>
      </c>
      <c r="J30" s="5" t="s">
        <v>9</v>
      </c>
    </row>
    <row r="31" customFormat="false" ht="12.8" hidden="false" customHeight="false" outlineLevel="0" collapsed="false">
      <c r="A31" s="14" t="s">
        <v>22</v>
      </c>
      <c r="B31" s="15" t="s">
        <v>19</v>
      </c>
      <c r="C31" s="15"/>
      <c r="D31" s="15"/>
      <c r="E31" s="16"/>
      <c r="F31" s="16"/>
    </row>
    <row r="32" customFormat="false" ht="12.8" hidden="false" customHeight="false" outlineLevel="0" collapsed="false">
      <c r="A32" s="14" t="s">
        <v>28</v>
      </c>
      <c r="B32" s="15" t="s">
        <v>25</v>
      </c>
      <c r="C32" s="15"/>
      <c r="D32" s="15"/>
      <c r="E32" s="15"/>
      <c r="F32" s="15"/>
      <c r="I32" s="4" t="s">
        <v>42</v>
      </c>
      <c r="J32" s="4"/>
    </row>
    <row r="33" customFormat="false" ht="12.8" hidden="false" customHeight="false" outlineLevel="0" collapsed="false">
      <c r="A33" s="14" t="s">
        <v>33</v>
      </c>
      <c r="B33" s="15" t="s">
        <v>31</v>
      </c>
      <c r="C33" s="15"/>
      <c r="D33" s="15"/>
      <c r="E33" s="15"/>
      <c r="F33" s="15"/>
      <c r="I33" s="5" t="s">
        <v>44</v>
      </c>
      <c r="J33" s="5" t="s">
        <v>9</v>
      </c>
    </row>
    <row r="34" customFormat="false" ht="12.8" hidden="false" customHeight="false" outlineLevel="0" collapsed="false">
      <c r="A34" s="14" t="s">
        <v>33</v>
      </c>
      <c r="B34" s="15" t="s">
        <v>34</v>
      </c>
      <c r="C34" s="15"/>
      <c r="D34" s="15"/>
      <c r="E34" s="15"/>
      <c r="F34" s="15"/>
    </row>
    <row r="35" customFormat="false" ht="12.8" hidden="false" customHeight="false" outlineLevel="0" collapsed="false">
      <c r="A35" s="14" t="s">
        <v>37</v>
      </c>
      <c r="B35" s="15" t="s">
        <v>36</v>
      </c>
      <c r="C35" s="15"/>
      <c r="D35" s="15"/>
      <c r="E35" s="15"/>
      <c r="F35" s="15"/>
    </row>
    <row r="36" customFormat="false" ht="12.8" hidden="false" customHeight="false" outlineLevel="0" collapsed="false">
      <c r="A36" s="14" t="s">
        <v>17</v>
      </c>
      <c r="B36" s="15" t="s">
        <v>14</v>
      </c>
      <c r="C36" s="15"/>
      <c r="D36" s="15"/>
      <c r="E36" s="15"/>
      <c r="F36" s="15"/>
    </row>
    <row r="37" customFormat="false" ht="12.8" hidden="false" customHeight="false" outlineLevel="0" collapsed="false">
      <c r="A37" s="14" t="s">
        <v>23</v>
      </c>
      <c r="B37" s="15" t="s">
        <v>20</v>
      </c>
      <c r="C37" s="15"/>
      <c r="D37" s="15"/>
      <c r="E37" s="15"/>
      <c r="F37" s="15"/>
    </row>
    <row r="38" customFormat="false" ht="12.8" hidden="false" customHeight="false" outlineLevel="0" collapsed="false">
      <c r="A38" s="14" t="s">
        <v>41</v>
      </c>
      <c r="B38" s="15" t="s">
        <v>40</v>
      </c>
      <c r="C38" s="15"/>
      <c r="D38" s="15"/>
      <c r="E38" s="15"/>
      <c r="F38" s="15"/>
    </row>
    <row r="39" customFormat="false" ht="12.8" hidden="false" customHeight="false" outlineLevel="0" collapsed="false">
      <c r="A39" s="14" t="s">
        <v>29</v>
      </c>
      <c r="B39" s="15" t="s">
        <v>26</v>
      </c>
      <c r="C39" s="15"/>
      <c r="D39" s="15"/>
      <c r="E39" s="15"/>
      <c r="F39" s="15"/>
    </row>
    <row r="40" customFormat="false" ht="12.8" hidden="false" customHeight="false" outlineLevel="0" collapsed="false">
      <c r="A40" s="14" t="s">
        <v>43</v>
      </c>
      <c r="B40" s="15" t="s">
        <v>42</v>
      </c>
      <c r="C40" s="15"/>
      <c r="D40" s="15"/>
      <c r="E40" s="15"/>
      <c r="F40" s="15"/>
    </row>
    <row r="41" customFormat="false" ht="12.8" hidden="false" customHeight="false" outlineLevel="0" collapsed="false">
      <c r="A41" s="17" t="s">
        <v>44</v>
      </c>
      <c r="B41" s="18" t="s">
        <v>45</v>
      </c>
      <c r="C41" s="18"/>
      <c r="D41" s="18"/>
      <c r="E41" s="19"/>
      <c r="F41" s="19"/>
    </row>
  </sheetData>
  <mergeCells count="38">
    <mergeCell ref="A1:E1"/>
    <mergeCell ref="I1:J1"/>
    <mergeCell ref="F5:G5"/>
    <mergeCell ref="I5:J5"/>
    <mergeCell ref="L5:M5"/>
    <mergeCell ref="F8:G8"/>
    <mergeCell ref="I8:J8"/>
    <mergeCell ref="L8:M8"/>
    <mergeCell ref="F11:G11"/>
    <mergeCell ref="I11:J11"/>
    <mergeCell ref="L11:M11"/>
    <mergeCell ref="F14:G14"/>
    <mergeCell ref="I14:J14"/>
    <mergeCell ref="L14:M14"/>
    <mergeCell ref="F17:G17"/>
    <mergeCell ref="I17:J17"/>
    <mergeCell ref="I20:J20"/>
    <mergeCell ref="I23:J23"/>
    <mergeCell ref="B25:D25"/>
    <mergeCell ref="B26:D26"/>
    <mergeCell ref="I26:J26"/>
    <mergeCell ref="B27:D27"/>
    <mergeCell ref="B28:D28"/>
    <mergeCell ref="B29:D29"/>
    <mergeCell ref="I29:J29"/>
    <mergeCell ref="B30:D30"/>
    <mergeCell ref="B31:D31"/>
    <mergeCell ref="B32:D32"/>
    <mergeCell ref="I32:J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W3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26" activeCellId="0" sqref="H26"/>
    </sheetView>
  </sheetViews>
  <sheetFormatPr defaultColWidth="11.82421875" defaultRowHeight="12.8" zeroHeight="false" outlineLevelRow="0" outlineLevelCol="0"/>
  <cols>
    <col collapsed="false" customWidth="true" hidden="false" outlineLevel="0" max="2" min="2" style="20" width="11.71"/>
    <col collapsed="false" customWidth="true" hidden="false" outlineLevel="0" max="3" min="3" style="0" width="13.52"/>
    <col collapsed="false" customWidth="true" hidden="false" outlineLevel="0" max="5" min="5" style="3" width="16.12"/>
    <col collapsed="false" customWidth="true" hidden="false" outlineLevel="0" max="10" min="6" style="3" width="11.52"/>
    <col collapsed="false" customWidth="true" hidden="false" outlineLevel="0" max="107" min="11" style="0" width="3.83"/>
  </cols>
  <sheetData>
    <row r="1" customFormat="false" ht="12.8" hidden="false" customHeight="false" outlineLevel="0" collapsed="false">
      <c r="A1" s="8" t="s">
        <v>38</v>
      </c>
      <c r="B1" s="21" t="s">
        <v>39</v>
      </c>
      <c r="C1" s="21"/>
      <c r="D1" s="21"/>
      <c r="E1" s="22" t="s">
        <v>46</v>
      </c>
      <c r="F1" s="22" t="s">
        <v>47</v>
      </c>
      <c r="G1" s="22" t="s">
        <v>48</v>
      </c>
      <c r="H1" s="22" t="s">
        <v>49</v>
      </c>
      <c r="I1" s="22" t="s">
        <v>50</v>
      </c>
      <c r="J1" s="22" t="s">
        <v>51</v>
      </c>
    </row>
    <row r="2" customFormat="false" ht="12.8" hidden="false" customHeight="false" outlineLevel="0" collapsed="false">
      <c r="A2" s="11" t="s">
        <v>16</v>
      </c>
      <c r="B2" s="23" t="s">
        <v>13</v>
      </c>
      <c r="C2" s="23"/>
      <c r="D2" s="23"/>
      <c r="E2" s="24"/>
      <c r="F2" s="25" t="s">
        <v>52</v>
      </c>
      <c r="G2" s="26" t="n">
        <v>5</v>
      </c>
      <c r="H2" s="25"/>
      <c r="I2" s="25"/>
      <c r="J2" s="26" t="n">
        <v>5</v>
      </c>
      <c r="L2" s="27" t="n">
        <v>0</v>
      </c>
      <c r="M2" s="28"/>
      <c r="N2" s="27" t="n">
        <f aca="false">L2+L4</f>
        <v>5</v>
      </c>
      <c r="Q2" s="27" t="n">
        <f aca="false">N2</f>
        <v>5</v>
      </c>
      <c r="R2" s="28"/>
      <c r="S2" s="27" t="n">
        <f aca="false">Q2+Q4</f>
        <v>6</v>
      </c>
      <c r="V2" s="27" t="n">
        <f aca="false">S2</f>
        <v>6</v>
      </c>
      <c r="W2" s="28"/>
      <c r="X2" s="27" t="n">
        <f aca="false">V2+V4</f>
        <v>10</v>
      </c>
      <c r="AL2" s="27" t="n">
        <f aca="false">MAX(X2,AC8,X14)</f>
        <v>16</v>
      </c>
      <c r="AM2" s="28"/>
      <c r="AN2" s="27" t="n">
        <f aca="false">AL2+AL4</f>
        <v>18</v>
      </c>
      <c r="AQ2" s="27" t="n">
        <f aca="false">AN2</f>
        <v>18</v>
      </c>
      <c r="AR2" s="28"/>
      <c r="AS2" s="27" t="n">
        <f aca="false">AQ2+AQ4</f>
        <v>20</v>
      </c>
      <c r="AV2" s="27" t="n">
        <f aca="false">AS2</f>
        <v>20</v>
      </c>
      <c r="AW2" s="28"/>
      <c r="AX2" s="27" t="n">
        <f aca="false">AV2+AV4</f>
        <v>22</v>
      </c>
      <c r="BA2" s="27" t="n">
        <f aca="false">AX2</f>
        <v>22</v>
      </c>
      <c r="BB2" s="28"/>
      <c r="BC2" s="27" t="n">
        <f aca="false">BA2+BA4</f>
        <v>25</v>
      </c>
      <c r="BF2" s="27" t="n">
        <f aca="false">BC2</f>
        <v>25</v>
      </c>
      <c r="BG2" s="28"/>
      <c r="BH2" s="27" t="n">
        <f aca="false">BF2+BF4</f>
        <v>28</v>
      </c>
      <c r="BK2" s="27" t="n">
        <f aca="false">BH2</f>
        <v>28</v>
      </c>
      <c r="BL2" s="28"/>
      <c r="BM2" s="27" t="n">
        <f aca="false">BK2+BK4</f>
        <v>29</v>
      </c>
      <c r="BP2" s="27" t="n">
        <f aca="false">BM2</f>
        <v>29</v>
      </c>
      <c r="BQ2" s="28"/>
      <c r="BR2" s="27" t="n">
        <f aca="false">BP2+BP4</f>
        <v>34</v>
      </c>
      <c r="BU2" s="27" t="n">
        <f aca="false">MAX(BR2,AN14)</f>
        <v>34</v>
      </c>
      <c r="BV2" s="28"/>
      <c r="BW2" s="27" t="n">
        <f aca="false">BU2+BU4</f>
        <v>35</v>
      </c>
    </row>
    <row r="3" customFormat="false" ht="12.8" hidden="false" customHeight="false" outlineLevel="0" collapsed="false">
      <c r="A3" s="14" t="s">
        <v>15</v>
      </c>
      <c r="B3" s="29" t="s">
        <v>12</v>
      </c>
      <c r="C3" s="29"/>
      <c r="D3" s="29"/>
      <c r="E3" s="30" t="s">
        <v>16</v>
      </c>
      <c r="F3" s="30" t="s">
        <v>53</v>
      </c>
      <c r="G3" s="31" t="n">
        <v>1</v>
      </c>
      <c r="H3" s="30"/>
      <c r="I3" s="30"/>
      <c r="J3" s="31" t="n">
        <v>1</v>
      </c>
      <c r="L3" s="32" t="s">
        <v>16</v>
      </c>
      <c r="M3" s="32"/>
      <c r="N3" s="32"/>
      <c r="Q3" s="32" t="s">
        <v>15</v>
      </c>
      <c r="R3" s="32"/>
      <c r="S3" s="32"/>
      <c r="V3" s="32" t="s">
        <v>21</v>
      </c>
      <c r="W3" s="32"/>
      <c r="X3" s="32"/>
      <c r="AL3" s="32" t="s">
        <v>33</v>
      </c>
      <c r="AM3" s="32"/>
      <c r="AN3" s="32"/>
      <c r="AQ3" s="32" t="s">
        <v>35</v>
      </c>
      <c r="AR3" s="32"/>
      <c r="AS3" s="32"/>
      <c r="AV3" s="32" t="s">
        <v>37</v>
      </c>
      <c r="AW3" s="32"/>
      <c r="AX3" s="32"/>
      <c r="BA3" s="32" t="s">
        <v>23</v>
      </c>
      <c r="BB3" s="32"/>
      <c r="BC3" s="32"/>
      <c r="BF3" s="32" t="s">
        <v>41</v>
      </c>
      <c r="BG3" s="32"/>
      <c r="BH3" s="32"/>
      <c r="BK3" s="32" t="s">
        <v>29</v>
      </c>
      <c r="BL3" s="32"/>
      <c r="BM3" s="32"/>
      <c r="BP3" s="32" t="s">
        <v>43</v>
      </c>
      <c r="BQ3" s="32"/>
      <c r="BR3" s="32"/>
      <c r="BU3" s="32" t="s">
        <v>44</v>
      </c>
      <c r="BV3" s="32"/>
      <c r="BW3" s="32"/>
    </row>
    <row r="4" customFormat="false" ht="12.8" hidden="false" customHeight="false" outlineLevel="0" collapsed="false">
      <c r="A4" s="14" t="s">
        <v>21</v>
      </c>
      <c r="B4" s="29" t="s">
        <v>18</v>
      </c>
      <c r="C4" s="29"/>
      <c r="D4" s="29"/>
      <c r="E4" s="30" t="s">
        <v>15</v>
      </c>
      <c r="F4" s="30" t="s">
        <v>33</v>
      </c>
      <c r="G4" s="31" t="n">
        <v>4</v>
      </c>
      <c r="H4" s="30"/>
      <c r="I4" s="30"/>
      <c r="J4" s="31" t="n">
        <v>4</v>
      </c>
      <c r="L4" s="33" t="n">
        <f aca="false">J2</f>
        <v>5</v>
      </c>
      <c r="M4" s="34" t="n">
        <f aca="false">N5-N2</f>
        <v>0</v>
      </c>
      <c r="N4" s="33" t="n">
        <f aca="false">MIN(Q2,Q14)-N2</f>
        <v>0</v>
      </c>
      <c r="O4" s="35"/>
      <c r="P4" s="36"/>
      <c r="Q4" s="33" t="n">
        <f aca="false">J3</f>
        <v>1</v>
      </c>
      <c r="R4" s="34" t="n">
        <f aca="false">S5-S2</f>
        <v>0</v>
      </c>
      <c r="S4" s="33" t="n">
        <f aca="false">MIN(V2,V8)-S2</f>
        <v>0</v>
      </c>
      <c r="T4" s="35"/>
      <c r="U4" s="36"/>
      <c r="V4" s="33" t="n">
        <f aca="false">J4</f>
        <v>4</v>
      </c>
      <c r="W4" s="34" t="n">
        <f aca="false">X5-X2</f>
        <v>6</v>
      </c>
      <c r="X4" s="33" t="n">
        <f aca="false">AL2-X2</f>
        <v>6</v>
      </c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6"/>
      <c r="AL4" s="33" t="n">
        <f aca="false">J9</f>
        <v>2</v>
      </c>
      <c r="AM4" s="34" t="n">
        <f aca="false">AN5-AN2</f>
        <v>0</v>
      </c>
      <c r="AN4" s="33" t="n">
        <f aca="false">AQ2-AN2</f>
        <v>0</v>
      </c>
      <c r="AO4" s="35"/>
      <c r="AP4" s="35"/>
      <c r="AQ4" s="33" t="n">
        <f aca="false">J10</f>
        <v>2</v>
      </c>
      <c r="AR4" s="34" t="n">
        <f aca="false">AS5-AS2</f>
        <v>0</v>
      </c>
      <c r="AS4" s="33" t="n">
        <f aca="false">AV2-AS2</f>
        <v>0</v>
      </c>
      <c r="AT4" s="35"/>
      <c r="AU4" s="35"/>
      <c r="AV4" s="33" t="n">
        <f aca="false">J11</f>
        <v>2</v>
      </c>
      <c r="AW4" s="34" t="n">
        <f aca="false">AX5-AX2</f>
        <v>0</v>
      </c>
      <c r="AX4" s="33" t="n">
        <f aca="false">BA2-AX2</f>
        <v>0</v>
      </c>
      <c r="AY4" s="35"/>
      <c r="AZ4" s="35"/>
      <c r="BA4" s="33" t="n">
        <f aca="false">J13</f>
        <v>3</v>
      </c>
      <c r="BB4" s="34" t="n">
        <f aca="false">BC5-BC2</f>
        <v>0</v>
      </c>
      <c r="BC4" s="33" t="n">
        <f aca="false">BF2-BC2</f>
        <v>0</v>
      </c>
      <c r="BD4" s="35"/>
      <c r="BE4" s="35"/>
      <c r="BF4" s="33" t="n">
        <f aca="false">J14</f>
        <v>3</v>
      </c>
      <c r="BG4" s="34" t="n">
        <f aca="false">BH5-BH2</f>
        <v>0</v>
      </c>
      <c r="BH4" s="33" t="n">
        <f aca="false">BK2-BH2</f>
        <v>0</v>
      </c>
      <c r="BI4" s="35"/>
      <c r="BJ4" s="35"/>
      <c r="BK4" s="33" t="n">
        <f aca="false">J15</f>
        <v>1</v>
      </c>
      <c r="BL4" s="34" t="n">
        <f aca="false">BM5-BM2</f>
        <v>0</v>
      </c>
      <c r="BM4" s="33" t="n">
        <f aca="false">BP2-BM2</f>
        <v>0</v>
      </c>
      <c r="BN4" s="35"/>
      <c r="BO4" s="35"/>
      <c r="BP4" s="33" t="n">
        <f aca="false">J16</f>
        <v>5</v>
      </c>
      <c r="BQ4" s="34" t="n">
        <f aca="false">BR5-BR2</f>
        <v>0</v>
      </c>
      <c r="BR4" s="33" t="n">
        <f aca="false">BU2-BR2</f>
        <v>0</v>
      </c>
      <c r="BS4" s="35"/>
      <c r="BT4" s="36"/>
      <c r="BU4" s="33" t="n">
        <f aca="false">J17</f>
        <v>1</v>
      </c>
      <c r="BV4" s="34" t="n">
        <f aca="false">BW5-BW2</f>
        <v>0</v>
      </c>
      <c r="BW4" s="33"/>
    </row>
    <row r="5" customFormat="false" ht="12.8" hidden="false" customHeight="false" outlineLevel="0" collapsed="false">
      <c r="A5" s="14" t="s">
        <v>27</v>
      </c>
      <c r="B5" s="29" t="s">
        <v>24</v>
      </c>
      <c r="C5" s="29"/>
      <c r="D5" s="29"/>
      <c r="E5" s="30" t="s">
        <v>15</v>
      </c>
      <c r="F5" s="30" t="s">
        <v>32</v>
      </c>
      <c r="G5" s="31" t="n">
        <v>3</v>
      </c>
      <c r="H5" s="30"/>
      <c r="I5" s="30"/>
      <c r="J5" s="31" t="n">
        <v>3</v>
      </c>
      <c r="L5" s="27" t="n">
        <v>0</v>
      </c>
      <c r="M5" s="28"/>
      <c r="N5" s="27" t="n">
        <f aca="false">MIN(Q5,Q17)</f>
        <v>5</v>
      </c>
      <c r="P5" s="37"/>
      <c r="Q5" s="27" t="n">
        <f aca="false">S5-Q4</f>
        <v>5</v>
      </c>
      <c r="R5" s="28"/>
      <c r="S5" s="27" t="n">
        <f aca="false">MIN(V5,V11)</f>
        <v>6</v>
      </c>
      <c r="U5" s="37"/>
      <c r="V5" s="27" t="n">
        <f aca="false">X5-V4</f>
        <v>12</v>
      </c>
      <c r="W5" s="28"/>
      <c r="X5" s="27" t="n">
        <f aca="false">AL5</f>
        <v>16</v>
      </c>
      <c r="AK5" s="37"/>
      <c r="AL5" s="27" t="n">
        <f aca="false">AN5-AL4</f>
        <v>16</v>
      </c>
      <c r="AM5" s="28"/>
      <c r="AN5" s="27" t="n">
        <f aca="false">AQ5</f>
        <v>18</v>
      </c>
      <c r="AQ5" s="27" t="n">
        <f aca="false">AS5-AQ4</f>
        <v>18</v>
      </c>
      <c r="AR5" s="28"/>
      <c r="AS5" s="27" t="n">
        <f aca="false">AV5</f>
        <v>20</v>
      </c>
      <c r="AV5" s="27" t="n">
        <f aca="false">AX5-AV4</f>
        <v>20</v>
      </c>
      <c r="AW5" s="28"/>
      <c r="AX5" s="27" t="n">
        <f aca="false">BA5</f>
        <v>22</v>
      </c>
      <c r="BA5" s="27" t="n">
        <f aca="false">BC5-BA4</f>
        <v>22</v>
      </c>
      <c r="BB5" s="28"/>
      <c r="BC5" s="27" t="n">
        <f aca="false">BF5</f>
        <v>25</v>
      </c>
      <c r="BF5" s="27" t="n">
        <f aca="false">BH5-BF4</f>
        <v>25</v>
      </c>
      <c r="BG5" s="28"/>
      <c r="BH5" s="27" t="n">
        <f aca="false">BK5</f>
        <v>28</v>
      </c>
      <c r="BK5" s="27" t="n">
        <f aca="false">BM5-BK4</f>
        <v>28</v>
      </c>
      <c r="BL5" s="28"/>
      <c r="BM5" s="27" t="n">
        <f aca="false">BP5</f>
        <v>29</v>
      </c>
      <c r="BP5" s="27" t="n">
        <f aca="false">BR5-BP4</f>
        <v>29</v>
      </c>
      <c r="BQ5" s="28"/>
      <c r="BR5" s="27" t="n">
        <f aca="false">BU5</f>
        <v>34</v>
      </c>
      <c r="BT5" s="37"/>
      <c r="BU5" s="27" t="n">
        <f aca="false">BW5-BU4</f>
        <v>34</v>
      </c>
      <c r="BV5" s="28"/>
      <c r="BW5" s="27" t="n">
        <f aca="false">BW2</f>
        <v>35</v>
      </c>
    </row>
    <row r="6" customFormat="false" ht="12.8" hidden="false" customHeight="false" outlineLevel="0" collapsed="false">
      <c r="A6" s="14" t="s">
        <v>32</v>
      </c>
      <c r="B6" s="29" t="s">
        <v>30</v>
      </c>
      <c r="C6" s="29"/>
      <c r="D6" s="29"/>
      <c r="E6" s="38" t="s">
        <v>27</v>
      </c>
      <c r="F6" s="38" t="s">
        <v>33</v>
      </c>
      <c r="G6" s="39" t="n">
        <v>7</v>
      </c>
      <c r="H6" s="38"/>
      <c r="I6" s="38"/>
      <c r="J6" s="39" t="n">
        <v>7</v>
      </c>
      <c r="P6" s="37"/>
      <c r="U6" s="37"/>
      <c r="AK6" s="37"/>
      <c r="BT6" s="37"/>
    </row>
    <row r="7" customFormat="false" ht="12.8" hidden="false" customHeight="false" outlineLevel="0" collapsed="false">
      <c r="A7" s="14" t="s">
        <v>22</v>
      </c>
      <c r="B7" s="29" t="s">
        <v>19</v>
      </c>
      <c r="C7" s="29"/>
      <c r="D7" s="29"/>
      <c r="E7" s="30" t="s">
        <v>16</v>
      </c>
      <c r="F7" s="30" t="s">
        <v>28</v>
      </c>
      <c r="G7" s="31" t="n">
        <v>1</v>
      </c>
      <c r="H7" s="30"/>
      <c r="I7" s="30"/>
      <c r="J7" s="31" t="n">
        <v>1</v>
      </c>
      <c r="P7" s="37"/>
      <c r="U7" s="37"/>
      <c r="AK7" s="37"/>
      <c r="BT7" s="37"/>
    </row>
    <row r="8" customFormat="false" ht="12.8" hidden="false" customHeight="false" outlineLevel="0" collapsed="false">
      <c r="A8" s="14" t="s">
        <v>28</v>
      </c>
      <c r="B8" s="29" t="s">
        <v>25</v>
      </c>
      <c r="C8" s="29"/>
      <c r="D8" s="29"/>
      <c r="E8" s="38" t="s">
        <v>22</v>
      </c>
      <c r="F8" s="38" t="s">
        <v>54</v>
      </c>
      <c r="G8" s="39" t="n">
        <v>3</v>
      </c>
      <c r="H8" s="38"/>
      <c r="I8" s="38"/>
      <c r="J8" s="39" t="n">
        <v>3</v>
      </c>
      <c r="P8" s="37"/>
      <c r="U8" s="37"/>
      <c r="V8" s="27" t="n">
        <f aca="false">S2</f>
        <v>6</v>
      </c>
      <c r="W8" s="28"/>
      <c r="X8" s="27" t="n">
        <f aca="false">V8+V10</f>
        <v>9</v>
      </c>
      <c r="AA8" s="27" t="n">
        <f aca="false">X8</f>
        <v>9</v>
      </c>
      <c r="AB8" s="28"/>
      <c r="AC8" s="27" t="n">
        <f aca="false">AA8+AA10</f>
        <v>16</v>
      </c>
      <c r="AK8" s="37"/>
      <c r="BT8" s="37"/>
    </row>
    <row r="9" customFormat="false" ht="12.8" hidden="false" customHeight="false" outlineLevel="0" collapsed="false">
      <c r="A9" s="14" t="s">
        <v>33</v>
      </c>
      <c r="B9" s="29" t="s">
        <v>31</v>
      </c>
      <c r="C9" s="29"/>
      <c r="D9" s="29"/>
      <c r="E9" s="38" t="s">
        <v>55</v>
      </c>
      <c r="F9" s="38" t="s">
        <v>35</v>
      </c>
      <c r="G9" s="39" t="n">
        <v>2</v>
      </c>
      <c r="H9" s="38"/>
      <c r="I9" s="38"/>
      <c r="J9" s="39" t="n">
        <v>2</v>
      </c>
      <c r="P9" s="37"/>
      <c r="U9" s="37"/>
      <c r="V9" s="32" t="s">
        <v>27</v>
      </c>
      <c r="W9" s="32"/>
      <c r="X9" s="32"/>
      <c r="AA9" s="32" t="s">
        <v>32</v>
      </c>
      <c r="AB9" s="32"/>
      <c r="AC9" s="32"/>
      <c r="AK9" s="37"/>
      <c r="BT9" s="37"/>
    </row>
    <row r="10" customFormat="false" ht="12.8" hidden="false" customHeight="false" outlineLevel="0" collapsed="false">
      <c r="A10" s="14" t="s">
        <v>35</v>
      </c>
      <c r="B10" s="29" t="s">
        <v>34</v>
      </c>
      <c r="C10" s="29"/>
      <c r="D10" s="29"/>
      <c r="E10" s="38" t="s">
        <v>33</v>
      </c>
      <c r="F10" s="38" t="s">
        <v>37</v>
      </c>
      <c r="G10" s="39" t="n">
        <v>2</v>
      </c>
      <c r="H10" s="38"/>
      <c r="I10" s="38"/>
      <c r="J10" s="39" t="n">
        <v>2</v>
      </c>
      <c r="P10" s="37"/>
      <c r="U10" s="35"/>
      <c r="V10" s="33" t="n">
        <f aca="false">J5</f>
        <v>3</v>
      </c>
      <c r="W10" s="34" t="n">
        <f aca="false">X11-X8</f>
        <v>0</v>
      </c>
      <c r="X10" s="33" t="n">
        <f aca="false">AA8-X8</f>
        <v>0</v>
      </c>
      <c r="Y10" s="35"/>
      <c r="Z10" s="35"/>
      <c r="AA10" s="33" t="n">
        <f aca="false">J6</f>
        <v>7</v>
      </c>
      <c r="AB10" s="34" t="n">
        <f aca="false">AC11-AC8</f>
        <v>0</v>
      </c>
      <c r="AC10" s="33" t="n">
        <f aca="false">AL2-AC8</f>
        <v>0</v>
      </c>
      <c r="AD10" s="35"/>
      <c r="AE10" s="35"/>
      <c r="AF10" s="35"/>
      <c r="AG10" s="35"/>
      <c r="AH10" s="35"/>
      <c r="AI10" s="35"/>
      <c r="AJ10" s="35"/>
      <c r="AK10" s="37"/>
      <c r="BT10" s="37"/>
    </row>
    <row r="11" customFormat="false" ht="12.8" hidden="false" customHeight="false" outlineLevel="0" collapsed="false">
      <c r="A11" s="14" t="s">
        <v>37</v>
      </c>
      <c r="B11" s="29" t="s">
        <v>36</v>
      </c>
      <c r="C11" s="29"/>
      <c r="D11" s="29"/>
      <c r="E11" s="38" t="s">
        <v>35</v>
      </c>
      <c r="F11" s="38" t="s">
        <v>23</v>
      </c>
      <c r="G11" s="39" t="n">
        <v>2</v>
      </c>
      <c r="H11" s="38"/>
      <c r="I11" s="38"/>
      <c r="J11" s="39" t="n">
        <v>2</v>
      </c>
      <c r="P11" s="37"/>
      <c r="V11" s="27" t="n">
        <f aca="false">X11-V10</f>
        <v>6</v>
      </c>
      <c r="W11" s="28"/>
      <c r="X11" s="27" t="n">
        <f aca="false">AA11</f>
        <v>9</v>
      </c>
      <c r="AA11" s="27" t="n">
        <f aca="false">AC11-AA10</f>
        <v>9</v>
      </c>
      <c r="AB11" s="28"/>
      <c r="AC11" s="27" t="n">
        <f aca="false">AL5</f>
        <v>16</v>
      </c>
      <c r="AK11" s="37"/>
      <c r="BT11" s="37"/>
    </row>
    <row r="12" customFormat="false" ht="12.8" hidden="false" customHeight="false" outlineLevel="0" collapsed="false">
      <c r="A12" s="14" t="s">
        <v>17</v>
      </c>
      <c r="B12" s="29" t="s">
        <v>56</v>
      </c>
      <c r="C12" s="29"/>
      <c r="D12" s="29"/>
      <c r="E12" s="38" t="s">
        <v>28</v>
      </c>
      <c r="F12" s="38" t="s">
        <v>44</v>
      </c>
      <c r="G12" s="39" t="n">
        <v>10</v>
      </c>
      <c r="H12" s="38"/>
      <c r="I12" s="38"/>
      <c r="J12" s="39" t="n">
        <v>10</v>
      </c>
      <c r="P12" s="37"/>
      <c r="AA12" s="40"/>
      <c r="AK12" s="37"/>
      <c r="BT12" s="37"/>
    </row>
    <row r="13" customFormat="false" ht="12.8" hidden="false" customHeight="false" outlineLevel="0" collapsed="false">
      <c r="A13" s="14" t="s">
        <v>23</v>
      </c>
      <c r="B13" s="29" t="s">
        <v>20</v>
      </c>
      <c r="C13" s="29"/>
      <c r="D13" s="29"/>
      <c r="E13" s="38" t="s">
        <v>37</v>
      </c>
      <c r="F13" s="38" t="s">
        <v>41</v>
      </c>
      <c r="G13" s="39" t="n">
        <v>3</v>
      </c>
      <c r="H13" s="38"/>
      <c r="I13" s="38"/>
      <c r="J13" s="39" t="n">
        <v>3</v>
      </c>
      <c r="P13" s="37"/>
      <c r="AA13" s="40"/>
      <c r="AK13" s="37"/>
      <c r="BT13" s="37"/>
    </row>
    <row r="14" customFormat="false" ht="12.8" hidden="false" customHeight="false" outlineLevel="0" collapsed="false">
      <c r="A14" s="14" t="s">
        <v>41</v>
      </c>
      <c r="B14" s="29" t="s">
        <v>40</v>
      </c>
      <c r="C14" s="29"/>
      <c r="D14" s="29"/>
      <c r="E14" s="38" t="s">
        <v>23</v>
      </c>
      <c r="F14" s="38" t="s">
        <v>29</v>
      </c>
      <c r="G14" s="39" t="n">
        <v>3</v>
      </c>
      <c r="H14" s="38"/>
      <c r="I14" s="38"/>
      <c r="J14" s="39" t="n">
        <v>3</v>
      </c>
      <c r="P14" s="37"/>
      <c r="Q14" s="27" t="n">
        <f aca="false">N2</f>
        <v>5</v>
      </c>
      <c r="R14" s="28"/>
      <c r="S14" s="27" t="n">
        <f aca="false">Q14+Q16</f>
        <v>6</v>
      </c>
      <c r="V14" s="27" t="n">
        <f aca="false">S14</f>
        <v>6</v>
      </c>
      <c r="W14" s="28"/>
      <c r="X14" s="27" t="n">
        <f aca="false">V14+V16</f>
        <v>9</v>
      </c>
      <c r="AK14" s="37"/>
      <c r="AL14" s="27" t="n">
        <f aca="false">X14</f>
        <v>9</v>
      </c>
      <c r="AM14" s="28"/>
      <c r="AN14" s="27" t="n">
        <f aca="false">AL14+AL16</f>
        <v>19</v>
      </c>
      <c r="BT14" s="37"/>
    </row>
    <row r="15" customFormat="false" ht="12.8" hidden="false" customHeight="false" outlineLevel="0" collapsed="false">
      <c r="A15" s="14" t="s">
        <v>29</v>
      </c>
      <c r="B15" s="29" t="s">
        <v>26</v>
      </c>
      <c r="C15" s="29"/>
      <c r="D15" s="29"/>
      <c r="E15" s="38" t="s">
        <v>41</v>
      </c>
      <c r="F15" s="38" t="s">
        <v>43</v>
      </c>
      <c r="G15" s="39" t="n">
        <v>1</v>
      </c>
      <c r="H15" s="38"/>
      <c r="I15" s="38"/>
      <c r="J15" s="39" t="n">
        <v>1</v>
      </c>
      <c r="P15" s="37"/>
      <c r="Q15" s="32" t="s">
        <v>22</v>
      </c>
      <c r="R15" s="32"/>
      <c r="S15" s="32"/>
      <c r="V15" s="32" t="s">
        <v>28</v>
      </c>
      <c r="W15" s="32"/>
      <c r="X15" s="32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40"/>
      <c r="AL15" s="32" t="s">
        <v>17</v>
      </c>
      <c r="AM15" s="32"/>
      <c r="AN15" s="32"/>
      <c r="BT15" s="37"/>
    </row>
    <row r="16" customFormat="false" ht="12.8" hidden="false" customHeight="false" outlineLevel="0" collapsed="false">
      <c r="A16" s="14" t="s">
        <v>43</v>
      </c>
      <c r="B16" s="29" t="s">
        <v>42</v>
      </c>
      <c r="C16" s="29"/>
      <c r="D16" s="29"/>
      <c r="E16" s="38" t="s">
        <v>29</v>
      </c>
      <c r="F16" s="38" t="s">
        <v>44</v>
      </c>
      <c r="G16" s="39" t="n">
        <v>5</v>
      </c>
      <c r="H16" s="38"/>
      <c r="I16" s="38"/>
      <c r="J16" s="39" t="n">
        <v>5</v>
      </c>
      <c r="P16" s="35"/>
      <c r="Q16" s="33" t="n">
        <f aca="false">J7</f>
        <v>1</v>
      </c>
      <c r="R16" s="34" t="n">
        <f aca="false">S17-S14</f>
        <v>7</v>
      </c>
      <c r="S16" s="33" t="n">
        <f aca="false">V14-S14</f>
        <v>0</v>
      </c>
      <c r="T16" s="35"/>
      <c r="U16" s="35"/>
      <c r="V16" s="33" t="n">
        <f aca="false">J8</f>
        <v>3</v>
      </c>
      <c r="W16" s="34" t="n">
        <f aca="false">X17-X14</f>
        <v>7</v>
      </c>
      <c r="X16" s="33" t="n">
        <f aca="false">MIN(AL2,AL14)-X14</f>
        <v>0</v>
      </c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3" t="n">
        <f aca="false">J12</f>
        <v>10</v>
      </c>
      <c r="AM16" s="34" t="n">
        <f aca="false">AN17-AN14</f>
        <v>15</v>
      </c>
      <c r="AN16" s="33" t="n">
        <f aca="false">BU2-AN14</f>
        <v>15</v>
      </c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</row>
    <row r="17" customFormat="false" ht="12.8" hidden="false" customHeight="false" outlineLevel="0" collapsed="false">
      <c r="A17" s="17" t="s">
        <v>44</v>
      </c>
      <c r="B17" s="41" t="s">
        <v>45</v>
      </c>
      <c r="C17" s="41"/>
      <c r="D17" s="41"/>
      <c r="E17" s="42" t="s">
        <v>57</v>
      </c>
      <c r="F17" s="43"/>
      <c r="G17" s="44" t="n">
        <v>1</v>
      </c>
      <c r="H17" s="45"/>
      <c r="I17" s="45"/>
      <c r="J17" s="44" t="n">
        <v>1</v>
      </c>
      <c r="Q17" s="27" t="n">
        <f aca="false">S17-Q16</f>
        <v>12</v>
      </c>
      <c r="R17" s="28"/>
      <c r="S17" s="27" t="n">
        <f aca="false">V17</f>
        <v>13</v>
      </c>
      <c r="V17" s="27" t="n">
        <f aca="false">X17-V16</f>
        <v>13</v>
      </c>
      <c r="W17" s="28"/>
      <c r="X17" s="27" t="n">
        <f aca="false">MIN(AL5,AL17)</f>
        <v>16</v>
      </c>
      <c r="AL17" s="27" t="n">
        <f aca="false">AN17-AL16</f>
        <v>24</v>
      </c>
      <c r="AM17" s="28"/>
      <c r="AN17" s="27" t="n">
        <f aca="false">BU5</f>
        <v>34</v>
      </c>
    </row>
    <row r="19" customFormat="false" ht="12.8" hidden="false" customHeight="false" outlineLevel="0" collapsed="false">
      <c r="A19" s="46" t="s">
        <v>58</v>
      </c>
      <c r="B19" s="47" t="s">
        <v>59</v>
      </c>
      <c r="C19" s="48"/>
      <c r="D19" s="49" t="s">
        <v>60</v>
      </c>
    </row>
    <row r="20" customFormat="false" ht="12.8" hidden="false" customHeight="false" outlineLevel="0" collapsed="false">
      <c r="B20" s="32" t="s">
        <v>38</v>
      </c>
      <c r="C20" s="32"/>
      <c r="D20" s="32"/>
    </row>
    <row r="21" customFormat="false" ht="12.8" hidden="false" customHeight="false" outlineLevel="0" collapsed="false">
      <c r="B21" s="32" t="s">
        <v>51</v>
      </c>
      <c r="C21" s="34" t="s">
        <v>61</v>
      </c>
      <c r="D21" s="33" t="s">
        <v>62</v>
      </c>
    </row>
    <row r="22" customFormat="false" ht="12.8" hidden="false" customHeight="false" outlineLevel="0" collapsed="false">
      <c r="A22" s="50" t="s">
        <v>63</v>
      </c>
      <c r="B22" s="51" t="s">
        <v>59</v>
      </c>
      <c r="C22" s="52"/>
      <c r="D22" s="53" t="s">
        <v>60</v>
      </c>
    </row>
    <row r="24" customFormat="false" ht="12.8" hidden="false" customHeight="false" outlineLevel="0" collapsed="false">
      <c r="B24" s="54" t="s">
        <v>64</v>
      </c>
      <c r="C24" s="28"/>
      <c r="D24" s="27" t="s">
        <v>65</v>
      </c>
    </row>
    <row r="25" customFormat="false" ht="12.8" hidden="false" customHeight="false" outlineLevel="0" collapsed="false">
      <c r="B25" s="32" t="s">
        <v>66</v>
      </c>
      <c r="C25" s="32"/>
      <c r="D25" s="32"/>
    </row>
    <row r="26" customFormat="false" ht="12.8" hidden="false" customHeight="false" outlineLevel="0" collapsed="false">
      <c r="B26" s="32" t="s">
        <v>67</v>
      </c>
      <c r="C26" s="34" t="s">
        <v>68</v>
      </c>
      <c r="D26" s="33" t="s">
        <v>69</v>
      </c>
    </row>
    <row r="27" customFormat="false" ht="12.8" hidden="false" customHeight="false" outlineLevel="0" collapsed="false">
      <c r="B27" s="54" t="s">
        <v>70</v>
      </c>
      <c r="C27" s="28"/>
      <c r="D27" s="27" t="s">
        <v>71</v>
      </c>
    </row>
    <row r="29" customFormat="false" ht="12.8" hidden="false" customHeight="false" outlineLevel="0" collapsed="false">
      <c r="A29" s="0" t="s">
        <v>64</v>
      </c>
      <c r="B29" s="55" t="s">
        <v>72</v>
      </c>
      <c r="C29" s="56" t="s">
        <v>73</v>
      </c>
      <c r="D29" s="56"/>
    </row>
    <row r="30" customFormat="false" ht="12.8" hidden="false" customHeight="false" outlineLevel="0" collapsed="false">
      <c r="A30" s="0" t="s">
        <v>65</v>
      </c>
      <c r="B30" s="55" t="s">
        <v>72</v>
      </c>
      <c r="C30" s="56" t="s">
        <v>74</v>
      </c>
      <c r="D30" s="56"/>
    </row>
    <row r="31" customFormat="false" ht="12.8" hidden="false" customHeight="false" outlineLevel="0" collapsed="false">
      <c r="B31" s="55"/>
    </row>
    <row r="32" customFormat="false" ht="12.8" hidden="false" customHeight="false" outlineLevel="0" collapsed="false">
      <c r="A32" s="0" t="s">
        <v>65</v>
      </c>
      <c r="B32" s="55" t="s">
        <v>72</v>
      </c>
      <c r="C32" s="56" t="s">
        <v>74</v>
      </c>
      <c r="D32" s="56"/>
    </row>
    <row r="33" customFormat="false" ht="12.8" hidden="false" customHeight="false" outlineLevel="0" collapsed="false">
      <c r="A33" s="0" t="s">
        <v>64</v>
      </c>
      <c r="B33" s="55" t="s">
        <v>72</v>
      </c>
      <c r="C33" s="56" t="s">
        <v>73</v>
      </c>
      <c r="D33" s="56"/>
    </row>
    <row r="34" customFormat="false" ht="12.8" hidden="false" customHeight="false" outlineLevel="0" collapsed="false">
      <c r="B34" s="55"/>
    </row>
    <row r="35" customFormat="false" ht="12.8" hidden="false" customHeight="false" outlineLevel="0" collapsed="false">
      <c r="B35" s="55"/>
    </row>
  </sheetData>
  <mergeCells count="39">
    <mergeCell ref="B1:D1"/>
    <mergeCell ref="B2:D2"/>
    <mergeCell ref="B3:D3"/>
    <mergeCell ref="L3:N3"/>
    <mergeCell ref="Q3:S3"/>
    <mergeCell ref="V3:X3"/>
    <mergeCell ref="AL3:AN3"/>
    <mergeCell ref="AQ3:AS3"/>
    <mergeCell ref="AV3:AX3"/>
    <mergeCell ref="BA3:BC3"/>
    <mergeCell ref="BF3:BH3"/>
    <mergeCell ref="BK3:BM3"/>
    <mergeCell ref="BP3:BR3"/>
    <mergeCell ref="BU3:BW3"/>
    <mergeCell ref="B4:D4"/>
    <mergeCell ref="B5:D5"/>
    <mergeCell ref="B6:D6"/>
    <mergeCell ref="B7:D7"/>
    <mergeCell ref="B8:D8"/>
    <mergeCell ref="B9:D9"/>
    <mergeCell ref="V9:X9"/>
    <mergeCell ref="AA9:AC9"/>
    <mergeCell ref="B10:D10"/>
    <mergeCell ref="B11:D11"/>
    <mergeCell ref="B12:D12"/>
    <mergeCell ref="B13:D13"/>
    <mergeCell ref="B14:D14"/>
    <mergeCell ref="B15:D15"/>
    <mergeCell ref="Q15:S15"/>
    <mergeCell ref="V15:X15"/>
    <mergeCell ref="AL15:AN15"/>
    <mergeCell ref="B16:D16"/>
    <mergeCell ref="B17:D17"/>
    <mergeCell ref="B20:D20"/>
    <mergeCell ref="B25:D25"/>
    <mergeCell ref="C29:D29"/>
    <mergeCell ref="C30:D30"/>
    <mergeCell ref="C32:D32"/>
    <mergeCell ref="C33:D33"/>
  </mergeCells>
  <conditionalFormatting sqref="C21 C26 W16:X16 V10:W10 AM16:AN16 BV4 BQ4 BL4 BG4 BB4 AW4 AR4 AM4 AB10 W4 R4 R16 M4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1124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2021-11-08T08:45:00Z</dcterms:created>
  <dc:creator>Sebastian Meisel</dc:creator>
  <dc:description/>
  <dc:language>de-DE</dc:language>
  <cp:lastModifiedBy>Sebastian Meisel</cp:lastModifiedBy>
  <dcterms:modified xsi:type="dcterms:W3CDTF">2022-03-08T09:38:09Z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