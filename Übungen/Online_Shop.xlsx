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<sst xmlns="http://schemas.openxmlformats.org/spreadsheetml/2006/main" count="294" uniqueCount="79">
  <si>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</si>
  <si>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</si>
  <si>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</si>
  <si>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</si>
  <si>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</si>
  <si>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</si>
  <si>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</si>
  <si>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</si>
  <si>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</si>
  <si>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</si>
  <si>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</si>
  <si>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</si>
  <si>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</si>
  <si>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</si>
  <si>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</si>
  <si>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</si>
  <si>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</si>
  <si>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</si>
  <si>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</si>
  <si>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</si>
  <si>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</si>
  <si>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</si>
  <si>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</si>
  <si>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</si>
  <si>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</si>
  <si>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</si>
  <si>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</si>
  <si>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</si>
  <si>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</si>
  <si>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</si>
  <si>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</si>
  <si>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</si>
  <si>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</si>
  <si>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</si>
  <si>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</si>
  <si>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</si>
  <si>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</si>
  <si>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</si>
  <si>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</si>
  <si>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</si>
  <si>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</si>
  <si>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</si>
  <si>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</si>
  <si>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</si>
  <si>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</si>
  <si>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</si>
  <si>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</si>
  <si>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</si>
  <si>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</si>
  <si>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</si>
  <si>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</si>
  <si>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</si>
  <si>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</si>
  <si>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</si>
  <si>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</si>
  <si>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</si>
  <si>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</si>
  <si>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</si>
  <si>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</si>
  <si>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</si>
  <si>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</si>
  <si>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</si>
  <si>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</si>
  <si>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</si>
  <si>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</si>
  <si>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</si>
  <si>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</si>
  <si>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</si>
  <si>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</si>
  <si>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</si>
  <si>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</si>
  <si>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</si>
  <si>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</si>
  <si>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</si>
  <si>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</si>
  <si>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</si>
  <si>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</si>
  <si>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</si>
  <si>
    <t xml:space="preserve">Gantt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</si>
</sst>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EEEEEE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504400" y="479520"/>
          <a:ext cx="5572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50332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50260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2060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2060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2060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2060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922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922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922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922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922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922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922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922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6460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6460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6460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6460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9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9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9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1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0" ySplit="0" topLeftCell="BR1" activePane="topRight" state="frozen"/>
      <selection pane="topLeft" activeCell="A1" activeCellId="0" sqref="A1"/>
      <selection pane="topRight" activeCell="J3" activeCellId="0" sqref="J3"/>
    </sheetView>
  </sheetViews>
  <sheetFormatPr defaultColWidth="11.859375" defaultRowHeight="12.8" zeroHeight="false" outlineLevelRow="0" outlineLevelCol="1"/>
  <cols>
    <col collapsed="false" customWidth="true" hidden="false" outlineLevel="1" max="2" min="2" style="20" width="11.71"/>
    <col collapsed="false" customWidth="true" hidden="false" outlineLevel="1" max="3" min="3" style="0" width="13.52"/>
    <col collapsed="false" customWidth="false" hidden="false" outlineLevel="1" max="4" min="4" style="0" width="11.81"/>
    <col collapsed="false" customWidth="true" hidden="false" outlineLevel="1" max="5" min="5" style="3" width="16.12"/>
    <col collapsed="false" customWidth="true" hidden="fals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  <c r="G22" s="3" t="n">
        <v>25</v>
      </c>
      <c r="H22" s="3" t="n">
        <v>5</v>
      </c>
      <c r="I22" s="21" t="n">
        <v>0.75</v>
      </c>
      <c r="J22" s="3" t="n">
        <f aca="false">G22/(H22*I22)</f>
        <v>6.66666666666667</v>
      </c>
    </row>
    <row r="23" customFormat="false" ht="12.8" hidden="false" customHeight="false" outlineLevel="0" collapsed="false">
      <c r="G23" s="3" t="n">
        <v>20</v>
      </c>
      <c r="H23" s="3" t="n">
        <v>5</v>
      </c>
      <c r="I23" s="21" t="n">
        <v>0.8</v>
      </c>
      <c r="J23" s="3" t="n">
        <f aca="false">G23/(H23*I23)</f>
        <v>5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2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8" ySplit="0" topLeftCell="I1" activePane="topRight" state="frozen"/>
      <selection pane="topLeft" activeCell="A1" activeCellId="0" sqref="A1"/>
      <selection pane="topRight" activeCell="R8" activeCellId="0" sqref="R8"/>
    </sheetView>
  </sheetViews>
  <sheetFormatPr defaultColWidth="11.72265625" defaultRowHeight="12.8" zeroHeight="false" outlineLevelRow="0" outlineLevelCol="1"/>
  <cols>
    <col collapsed="false" customWidth="true" hidden="false" outlineLevel="1" max="5" min="5" style="0" width="16.2"/>
    <col collapsed="false" customWidth="true" hidden="false" outlineLevel="1" max="6" min="6" style="0" width="11.52"/>
    <col collapsed="false" customWidth="true" hidden="false" outlineLevel="0" max="7" min="7" style="0" width="11.59"/>
    <col collapsed="false" customWidth="true" hidden="false" outlineLevel="1" max="8" min="8" style="0" width="3.59"/>
    <col collapsed="false" customWidth="true" hidden="false" outlineLevel="0" max="62" min="9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59" t="s">
        <v>51</v>
      </c>
      <c r="H1" s="59"/>
      <c r="I1" s="60" t="n">
        <v>44515</v>
      </c>
      <c r="J1" s="60" t="n">
        <v>44516</v>
      </c>
      <c r="K1" s="60" t="n">
        <v>44517</v>
      </c>
      <c r="L1" s="60" t="n">
        <v>44518</v>
      </c>
      <c r="M1" s="60" t="n">
        <v>44519</v>
      </c>
      <c r="N1" s="60" t="n">
        <v>44520</v>
      </c>
      <c r="O1" s="60" t="n">
        <v>44521</v>
      </c>
      <c r="P1" s="60" t="n">
        <v>44522</v>
      </c>
      <c r="Q1" s="60" t="n">
        <v>44523</v>
      </c>
      <c r="R1" s="60" t="n">
        <v>44524</v>
      </c>
      <c r="S1" s="60" t="n">
        <v>44525</v>
      </c>
      <c r="T1" s="60" t="n">
        <v>44526</v>
      </c>
      <c r="U1" s="60" t="n">
        <v>44527</v>
      </c>
      <c r="V1" s="60" t="n">
        <v>44528</v>
      </c>
      <c r="W1" s="60" t="n">
        <v>44529</v>
      </c>
      <c r="X1" s="60" t="n">
        <v>44530</v>
      </c>
      <c r="Y1" s="60" t="n">
        <v>44531</v>
      </c>
      <c r="Z1" s="60" t="n">
        <v>44532</v>
      </c>
      <c r="AA1" s="60" t="n">
        <v>44533</v>
      </c>
      <c r="AB1" s="60" t="n">
        <v>44534</v>
      </c>
      <c r="AC1" s="60" t="n">
        <v>44535</v>
      </c>
      <c r="AD1" s="60" t="n">
        <v>44536</v>
      </c>
      <c r="AE1" s="60" t="n">
        <v>44537</v>
      </c>
      <c r="AF1" s="60" t="n">
        <v>44538</v>
      </c>
      <c r="AG1" s="60" t="n">
        <v>44539</v>
      </c>
      <c r="AH1" s="60" t="n">
        <v>44540</v>
      </c>
      <c r="AI1" s="60" t="n">
        <v>44541</v>
      </c>
      <c r="AJ1" s="60" t="n">
        <v>44542</v>
      </c>
      <c r="AK1" s="60" t="n">
        <v>44543</v>
      </c>
      <c r="AL1" s="60" t="n">
        <v>44544</v>
      </c>
      <c r="AM1" s="60" t="n">
        <v>44545</v>
      </c>
      <c r="AN1" s="60" t="n">
        <v>44546</v>
      </c>
      <c r="AO1" s="60" t="n">
        <v>44547</v>
      </c>
      <c r="AP1" s="60" t="n">
        <v>44548</v>
      </c>
      <c r="AQ1" s="60" t="n">
        <v>44549</v>
      </c>
      <c r="AR1" s="60" t="n">
        <v>44550</v>
      </c>
      <c r="AS1" s="60" t="n">
        <v>44551</v>
      </c>
      <c r="AT1" s="60" t="n">
        <v>44552</v>
      </c>
      <c r="AU1" s="60" t="n">
        <v>44553</v>
      </c>
      <c r="AV1" s="61" t="n">
        <v>44554</v>
      </c>
      <c r="AW1" s="60" t="n">
        <v>44555</v>
      </c>
      <c r="AX1" s="60" t="n">
        <v>44556</v>
      </c>
      <c r="AY1" s="60" t="n">
        <v>44557</v>
      </c>
      <c r="AZ1" s="60" t="n">
        <v>44558</v>
      </c>
      <c r="BA1" s="60" t="n">
        <v>44559</v>
      </c>
      <c r="BB1" s="60" t="n">
        <v>44560</v>
      </c>
      <c r="BC1" s="61" t="n">
        <v>44561</v>
      </c>
      <c r="BD1" s="60" t="n">
        <v>44562</v>
      </c>
      <c r="BE1" s="60" t="n">
        <v>44563</v>
      </c>
      <c r="BF1" s="60" t="n">
        <v>44564</v>
      </c>
      <c r="BG1" s="60" t="n">
        <v>44565</v>
      </c>
      <c r="BH1" s="60" t="n">
        <v>44566</v>
      </c>
      <c r="BI1" s="61" t="n">
        <v>44567</v>
      </c>
      <c r="BJ1" s="60" t="n">
        <v>44568</v>
      </c>
      <c r="BK1" s="62"/>
      <c r="BL1" s="63"/>
      <c r="BM1" s="64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5" t="n">
        <f aca="false">Netzplan!J2</f>
        <v>2</v>
      </c>
      <c r="H2" s="66" t="n">
        <f aca="false">SUM(I2:BJ2)</f>
        <v>2</v>
      </c>
      <c r="I2" s="67" t="n">
        <v>1</v>
      </c>
      <c r="J2" s="67" t="n">
        <v>1</v>
      </c>
      <c r="K2" s="67"/>
      <c r="L2" s="67"/>
      <c r="M2" s="67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9"/>
      <c r="AW2" s="68"/>
      <c r="AX2" s="68"/>
      <c r="AY2" s="68"/>
      <c r="AZ2" s="68"/>
      <c r="BA2" s="68"/>
      <c r="BB2" s="68"/>
      <c r="BC2" s="69"/>
      <c r="BD2" s="68"/>
      <c r="BE2" s="68"/>
      <c r="BF2" s="68"/>
      <c r="BG2" s="68"/>
      <c r="BH2" s="68"/>
      <c r="BI2" s="69"/>
      <c r="BJ2" s="70"/>
      <c r="BK2" s="62"/>
      <c r="BL2" s="63"/>
      <c r="BM2" s="64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5" t="n">
        <f aca="false">Netzplan!J3</f>
        <v>1</v>
      </c>
      <c r="H3" s="66" t="n">
        <f aca="false">SUM(I3:BJ3)</f>
        <v>1</v>
      </c>
      <c r="I3" s="71"/>
      <c r="J3" s="71"/>
      <c r="K3" s="71" t="n">
        <v>1</v>
      </c>
      <c r="L3" s="71"/>
      <c r="M3" s="71"/>
      <c r="N3" s="71"/>
      <c r="O3" s="71"/>
      <c r="P3" s="72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3"/>
      <c r="AW3" s="71"/>
      <c r="AX3" s="71"/>
      <c r="AY3" s="71"/>
      <c r="AZ3" s="71"/>
      <c r="BA3" s="71"/>
      <c r="BB3" s="71"/>
      <c r="BC3" s="73"/>
      <c r="BD3" s="71"/>
      <c r="BE3" s="71"/>
      <c r="BF3" s="71"/>
      <c r="BG3" s="71"/>
      <c r="BH3" s="71"/>
      <c r="BI3" s="73"/>
      <c r="BJ3" s="74"/>
      <c r="BK3" s="62"/>
      <c r="BL3" s="63"/>
      <c r="BM3" s="64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5" t="n">
        <f aca="false">Netzplan!J4</f>
        <v>6</v>
      </c>
      <c r="H4" s="66" t="n">
        <f aca="false">SUM(I4:BJ4)</f>
        <v>6</v>
      </c>
      <c r="I4" s="71"/>
      <c r="J4" s="71"/>
      <c r="K4" s="71"/>
      <c r="L4" s="71" t="n">
        <v>1</v>
      </c>
      <c r="M4" s="71" t="n">
        <v>1</v>
      </c>
      <c r="N4" s="71"/>
      <c r="O4" s="71"/>
      <c r="P4" s="71" t="n">
        <v>1</v>
      </c>
      <c r="Q4" s="72" t="n">
        <v>1</v>
      </c>
      <c r="R4" s="72" t="n">
        <v>1</v>
      </c>
      <c r="S4" s="72" t="n">
        <v>1</v>
      </c>
      <c r="T4" s="72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3"/>
      <c r="AW4" s="71"/>
      <c r="AX4" s="71"/>
      <c r="AY4" s="71"/>
      <c r="AZ4" s="71"/>
      <c r="BA4" s="71"/>
      <c r="BB4" s="71"/>
      <c r="BC4" s="73"/>
      <c r="BD4" s="71"/>
      <c r="BE4" s="71"/>
      <c r="BF4" s="71"/>
      <c r="BG4" s="71"/>
      <c r="BH4" s="71"/>
      <c r="BI4" s="73"/>
      <c r="BJ4" s="74"/>
      <c r="BK4" s="62"/>
      <c r="BL4" s="63"/>
      <c r="BM4" s="64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5" t="n">
        <f aca="false">Netzplan!J5</f>
        <v>2</v>
      </c>
      <c r="H5" s="66" t="n">
        <f aca="false">SUM(I5:BJ5)</f>
        <v>2</v>
      </c>
      <c r="I5" s="71"/>
      <c r="J5" s="71"/>
      <c r="K5" s="71"/>
      <c r="L5" s="72" t="n">
        <v>1</v>
      </c>
      <c r="M5" s="72" t="n">
        <v>1</v>
      </c>
      <c r="N5" s="71"/>
      <c r="O5" s="71"/>
      <c r="P5" s="71"/>
      <c r="Q5" s="72"/>
      <c r="R5" s="72"/>
      <c r="S5" s="75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3"/>
      <c r="AW5" s="71"/>
      <c r="AX5" s="71"/>
      <c r="AY5" s="71"/>
      <c r="AZ5" s="71"/>
      <c r="BA5" s="71"/>
      <c r="BB5" s="71"/>
      <c r="BC5" s="73"/>
      <c r="BD5" s="71"/>
      <c r="BE5" s="71"/>
      <c r="BF5" s="71"/>
      <c r="BG5" s="71"/>
      <c r="BH5" s="71"/>
      <c r="BI5" s="73"/>
      <c r="BJ5" s="74"/>
      <c r="BK5" s="62"/>
      <c r="BL5" s="63"/>
      <c r="BM5" s="64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1" t="s">
        <v>27</v>
      </c>
      <c r="F6" s="41" t="s">
        <v>33</v>
      </c>
      <c r="G6" s="65" t="n">
        <f aca="false">Netzplan!J6</f>
        <v>4</v>
      </c>
      <c r="H6" s="66" t="n">
        <f aca="false">SUM(I6:BJ6)</f>
        <v>4</v>
      </c>
      <c r="I6" s="71"/>
      <c r="J6" s="71"/>
      <c r="K6" s="71"/>
      <c r="L6" s="71"/>
      <c r="M6" s="71"/>
      <c r="N6" s="71"/>
      <c r="O6" s="71"/>
      <c r="P6" s="72" t="n">
        <v>1</v>
      </c>
      <c r="Q6" s="72" t="n">
        <v>1</v>
      </c>
      <c r="R6" s="72" t="n">
        <v>1</v>
      </c>
      <c r="S6" s="72" t="n">
        <v>1</v>
      </c>
      <c r="T6" s="72"/>
      <c r="U6" s="71"/>
      <c r="V6" s="71"/>
      <c r="W6" s="72"/>
      <c r="X6" s="72"/>
      <c r="Y6" s="72"/>
      <c r="Z6" s="72"/>
      <c r="AA6" s="75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3"/>
      <c r="AW6" s="71"/>
      <c r="AX6" s="71"/>
      <c r="AY6" s="71"/>
      <c r="AZ6" s="71"/>
      <c r="BA6" s="71"/>
      <c r="BB6" s="71"/>
      <c r="BC6" s="73"/>
      <c r="BD6" s="71"/>
      <c r="BE6" s="71"/>
      <c r="BF6" s="71"/>
      <c r="BG6" s="71"/>
      <c r="BH6" s="71"/>
      <c r="BI6" s="73"/>
      <c r="BJ6" s="74"/>
      <c r="BK6" s="62"/>
      <c r="BL6" s="63"/>
      <c r="BM6" s="64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5" t="n">
        <f aca="false">Netzplan!J7</f>
        <v>1</v>
      </c>
      <c r="H7" s="66" t="n">
        <f aca="false">SUM(I7:BJ7)</f>
        <v>1</v>
      </c>
      <c r="I7" s="71"/>
      <c r="J7" s="71"/>
      <c r="K7" s="71" t="n">
        <v>1</v>
      </c>
      <c r="L7" s="71"/>
      <c r="M7" s="71"/>
      <c r="N7" s="71"/>
      <c r="O7" s="71"/>
      <c r="P7" s="72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3"/>
      <c r="AW7" s="71"/>
      <c r="AX7" s="71"/>
      <c r="AY7" s="71"/>
      <c r="AZ7" s="71"/>
      <c r="BA7" s="71"/>
      <c r="BB7" s="71"/>
      <c r="BC7" s="73"/>
      <c r="BD7" s="71"/>
      <c r="BE7" s="71"/>
      <c r="BF7" s="71"/>
      <c r="BG7" s="71"/>
      <c r="BH7" s="71"/>
      <c r="BI7" s="73"/>
      <c r="BJ7" s="74"/>
      <c r="BK7" s="62"/>
      <c r="BL7" s="63"/>
      <c r="BM7" s="64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1" t="s">
        <v>22</v>
      </c>
      <c r="F8" s="41" t="s">
        <v>57</v>
      </c>
      <c r="G8" s="65" t="n">
        <f aca="false">Netzplan!J8</f>
        <v>6</v>
      </c>
      <c r="H8" s="66" t="n">
        <f aca="false">SUM(I8:BJ8)</f>
        <v>6</v>
      </c>
      <c r="I8" s="71"/>
      <c r="J8" s="71"/>
      <c r="K8" s="71"/>
      <c r="L8" s="72" t="n">
        <v>1</v>
      </c>
      <c r="M8" s="72" t="n">
        <v>1</v>
      </c>
      <c r="N8" s="71"/>
      <c r="O8" s="71"/>
      <c r="P8" s="72" t="n">
        <v>1</v>
      </c>
      <c r="Q8" s="72" t="n">
        <v>1</v>
      </c>
      <c r="R8" s="72" t="n">
        <v>1</v>
      </c>
      <c r="S8" s="72" t="n">
        <v>1</v>
      </c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3"/>
      <c r="AW8" s="71"/>
      <c r="AX8" s="71"/>
      <c r="AY8" s="71"/>
      <c r="AZ8" s="71"/>
      <c r="BA8" s="71"/>
      <c r="BB8" s="71"/>
      <c r="BC8" s="73"/>
      <c r="BD8" s="71"/>
      <c r="BE8" s="71"/>
      <c r="BF8" s="71"/>
      <c r="BG8" s="71"/>
      <c r="BH8" s="71"/>
      <c r="BI8" s="73"/>
      <c r="BJ8" s="74"/>
      <c r="BK8" s="62"/>
      <c r="BL8" s="63"/>
      <c r="BM8" s="64"/>
    </row>
    <row r="9" customFormat="false" ht="12.8" hidden="false" customHeight="false" outlineLevel="0" collapsed="false">
      <c r="A9" s="14" t="s">
        <v>33</v>
      </c>
      <c r="B9" s="15" t="s">
        <v>31</v>
      </c>
      <c r="C9" s="15"/>
      <c r="D9" s="15"/>
      <c r="E9" s="41" t="s">
        <v>58</v>
      </c>
      <c r="F9" s="41" t="s">
        <v>35</v>
      </c>
      <c r="G9" s="65" t="n">
        <f aca="false">Netzplan!J9</f>
        <v>2</v>
      </c>
      <c r="H9" s="66" t="n">
        <f aca="false">SUM(I9:BJ9)</f>
        <v>2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2" t="n">
        <v>1</v>
      </c>
      <c r="U9" s="71"/>
      <c r="V9" s="71"/>
      <c r="W9" s="72" t="n">
        <v>1</v>
      </c>
      <c r="X9" s="72"/>
      <c r="Y9" s="72"/>
      <c r="Z9" s="72"/>
      <c r="AA9" s="74"/>
      <c r="AB9" s="71"/>
      <c r="AC9" s="71"/>
      <c r="AD9" s="72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3"/>
      <c r="AW9" s="71"/>
      <c r="AX9" s="71"/>
      <c r="AY9" s="71"/>
      <c r="AZ9" s="71"/>
      <c r="BA9" s="71"/>
      <c r="BB9" s="71"/>
      <c r="BC9" s="73"/>
      <c r="BD9" s="71"/>
      <c r="BE9" s="71"/>
      <c r="BF9" s="71"/>
      <c r="BG9" s="71"/>
      <c r="BH9" s="71"/>
      <c r="BI9" s="73"/>
      <c r="BJ9" s="74"/>
      <c r="BK9" s="62"/>
      <c r="BL9" s="63"/>
      <c r="BM9" s="64"/>
    </row>
    <row r="10" customFormat="false" ht="12.8" hidden="false" customHeight="false" outlineLevel="0" collapsed="false">
      <c r="A10" s="14" t="s">
        <v>35</v>
      </c>
      <c r="B10" s="15" t="s">
        <v>34</v>
      </c>
      <c r="C10" s="15"/>
      <c r="D10" s="15"/>
      <c r="E10" s="41" t="s">
        <v>33</v>
      </c>
      <c r="F10" s="41" t="s">
        <v>37</v>
      </c>
      <c r="G10" s="65" t="n">
        <f aca="false">Netzplan!J10</f>
        <v>2</v>
      </c>
      <c r="H10" s="66" t="n">
        <f aca="false">SUM(I10:BJ10)</f>
        <v>2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2" t="n">
        <v>1</v>
      </c>
      <c r="Y10" s="72" t="n">
        <v>1</v>
      </c>
      <c r="Z10" s="71"/>
      <c r="AA10" s="71"/>
      <c r="AB10" s="71"/>
      <c r="AC10" s="71"/>
      <c r="AE10" s="74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3"/>
      <c r="AW10" s="71"/>
      <c r="AX10" s="71"/>
      <c r="AY10" s="71"/>
      <c r="AZ10" s="71"/>
      <c r="BA10" s="71"/>
      <c r="BB10" s="71"/>
      <c r="BC10" s="73"/>
      <c r="BD10" s="71"/>
      <c r="BE10" s="71"/>
      <c r="BF10" s="71"/>
      <c r="BG10" s="71"/>
      <c r="BH10" s="71"/>
      <c r="BI10" s="73"/>
      <c r="BJ10" s="74"/>
      <c r="BK10" s="62"/>
      <c r="BL10" s="63"/>
      <c r="BM10" s="64"/>
    </row>
    <row r="11" customFormat="false" ht="12.8" hidden="false" customHeight="false" outlineLevel="0" collapsed="false">
      <c r="A11" s="14" t="s">
        <v>37</v>
      </c>
      <c r="B11" s="15" t="s">
        <v>36</v>
      </c>
      <c r="C11" s="15"/>
      <c r="D11" s="15"/>
      <c r="E11" s="41" t="s">
        <v>35</v>
      </c>
      <c r="F11" s="41" t="s">
        <v>23</v>
      </c>
      <c r="G11" s="65" t="n">
        <f aca="false">Netzplan!J11</f>
        <v>2</v>
      </c>
      <c r="H11" s="66" t="n">
        <f aca="false">SUM(I11:BJ11)</f>
        <v>2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2" t="n">
        <v>1</v>
      </c>
      <c r="AA11" s="72" t="n">
        <v>1</v>
      </c>
      <c r="AB11" s="71"/>
      <c r="AC11" s="71"/>
      <c r="AE11" s="74"/>
      <c r="AF11" s="71"/>
      <c r="AG11" s="72"/>
      <c r="AH11" s="72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3"/>
      <c r="AW11" s="71"/>
      <c r="AX11" s="71"/>
      <c r="AY11" s="71"/>
      <c r="AZ11" s="71"/>
      <c r="BA11" s="71"/>
      <c r="BB11" s="71"/>
      <c r="BC11" s="73"/>
      <c r="BD11" s="71"/>
      <c r="BE11" s="71"/>
      <c r="BF11" s="71"/>
      <c r="BG11" s="71"/>
      <c r="BH11" s="71"/>
      <c r="BI11" s="73"/>
      <c r="BJ11" s="74"/>
      <c r="BK11" s="62"/>
      <c r="BL11" s="63"/>
      <c r="BM11" s="64"/>
    </row>
    <row r="12" customFormat="false" ht="12.8" hidden="false" customHeight="false" outlineLevel="0" collapsed="false">
      <c r="A12" s="14" t="s">
        <v>17</v>
      </c>
      <c r="B12" s="15" t="s">
        <v>59</v>
      </c>
      <c r="C12" s="15"/>
      <c r="D12" s="15"/>
      <c r="E12" s="41" t="s">
        <v>28</v>
      </c>
      <c r="F12" s="41" t="s">
        <v>44</v>
      </c>
      <c r="G12" s="65" t="n">
        <f aca="false">Netzplan!J12</f>
        <v>20</v>
      </c>
      <c r="H12" s="66" t="n">
        <f aca="false">SUM(I12:BJ12)</f>
        <v>20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2" t="n">
        <v>1</v>
      </c>
      <c r="U12" s="71"/>
      <c r="V12" s="71"/>
      <c r="W12" s="72" t="n">
        <v>1</v>
      </c>
      <c r="X12" s="72" t="n">
        <v>1</v>
      </c>
      <c r="Y12" s="72" t="n">
        <v>1</v>
      </c>
      <c r="Z12" s="72" t="n">
        <v>1</v>
      </c>
      <c r="AA12" s="72" t="n">
        <v>1</v>
      </c>
      <c r="AB12" s="71"/>
      <c r="AC12" s="71"/>
      <c r="AD12" s="72" t="n">
        <v>1</v>
      </c>
      <c r="AE12" s="72" t="n">
        <v>1</v>
      </c>
      <c r="AF12" s="72" t="n">
        <v>1</v>
      </c>
      <c r="AG12" s="72" t="n">
        <v>1</v>
      </c>
      <c r="AH12" s="72" t="n">
        <v>1</v>
      </c>
      <c r="AI12" s="71"/>
      <c r="AJ12" s="71"/>
      <c r="AK12" s="72" t="n">
        <v>1</v>
      </c>
      <c r="AL12" s="72" t="n">
        <v>1</v>
      </c>
      <c r="AM12" s="72" t="n">
        <v>1</v>
      </c>
      <c r="AN12" s="72" t="n">
        <v>1</v>
      </c>
      <c r="AO12" s="72" t="n">
        <v>1</v>
      </c>
      <c r="AP12" s="71"/>
      <c r="AQ12" s="71"/>
      <c r="AR12" s="72" t="n">
        <v>1</v>
      </c>
      <c r="AS12" s="72" t="n">
        <v>1</v>
      </c>
      <c r="AT12" s="72" t="n">
        <v>1</v>
      </c>
      <c r="AU12" s="72" t="n">
        <v>1</v>
      </c>
      <c r="AV12" s="76"/>
      <c r="AW12" s="71"/>
      <c r="AX12" s="71"/>
      <c r="AY12" s="72"/>
      <c r="AZ12" s="72"/>
      <c r="BA12" s="72"/>
      <c r="BB12" s="72"/>
      <c r="BC12" s="73"/>
      <c r="BD12" s="71"/>
      <c r="BE12" s="71"/>
      <c r="BF12" s="71"/>
      <c r="BG12" s="71"/>
      <c r="BH12" s="71"/>
      <c r="BI12" s="73"/>
      <c r="BJ12" s="74"/>
      <c r="BK12" s="62"/>
      <c r="BL12" s="63"/>
      <c r="BM12" s="64"/>
    </row>
    <row r="13" customFormat="false" ht="12.8" hidden="false" customHeight="false" outlineLevel="0" collapsed="false">
      <c r="A13" s="14" t="s">
        <v>23</v>
      </c>
      <c r="B13" s="15" t="s">
        <v>20</v>
      </c>
      <c r="C13" s="15"/>
      <c r="D13" s="15"/>
      <c r="E13" s="41" t="s">
        <v>37</v>
      </c>
      <c r="F13" s="41" t="s">
        <v>41</v>
      </c>
      <c r="G13" s="65" t="n">
        <f aca="false">Netzplan!J13</f>
        <v>2</v>
      </c>
      <c r="H13" s="66" t="n">
        <f aca="false">SUM(I13:BJ13)</f>
        <v>2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2" t="n">
        <v>1</v>
      </c>
      <c r="AE13" s="72" t="n">
        <v>1</v>
      </c>
      <c r="AF13" s="74"/>
      <c r="AG13" s="71"/>
      <c r="AH13" s="71"/>
      <c r="AI13" s="71"/>
      <c r="AJ13" s="71"/>
      <c r="AK13" s="72"/>
      <c r="AL13" s="72"/>
      <c r="AM13" s="72"/>
      <c r="AN13" s="72"/>
      <c r="AO13" s="72"/>
      <c r="AP13" s="71"/>
      <c r="AQ13" s="71"/>
      <c r="AR13" s="71"/>
      <c r="AS13" s="71"/>
      <c r="AT13" s="71"/>
      <c r="AU13" s="71"/>
      <c r="AV13" s="73"/>
      <c r="AW13" s="71"/>
      <c r="AX13" s="71"/>
      <c r="AY13" s="71"/>
      <c r="AZ13" s="71"/>
      <c r="BA13" s="71"/>
      <c r="BB13" s="71"/>
      <c r="BC13" s="73"/>
      <c r="BD13" s="71"/>
      <c r="BE13" s="71"/>
      <c r="BF13" s="71"/>
      <c r="BG13" s="71"/>
      <c r="BH13" s="71"/>
      <c r="BI13" s="73"/>
      <c r="BJ13" s="74"/>
      <c r="BK13" s="62"/>
      <c r="BL13" s="63"/>
      <c r="BM13" s="64"/>
    </row>
    <row r="14" customFormat="false" ht="12.8" hidden="false" customHeight="false" outlineLevel="0" collapsed="false">
      <c r="A14" s="14" t="s">
        <v>41</v>
      </c>
      <c r="B14" s="15" t="s">
        <v>40</v>
      </c>
      <c r="C14" s="15"/>
      <c r="D14" s="15"/>
      <c r="E14" s="41" t="s">
        <v>23</v>
      </c>
      <c r="F14" s="41" t="s">
        <v>29</v>
      </c>
      <c r="G14" s="65" t="n">
        <f aca="false">Netzplan!J14</f>
        <v>2</v>
      </c>
      <c r="H14" s="66" t="n">
        <f aca="false">SUM(I14:BJ14)</f>
        <v>2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 t="n">
        <v>1</v>
      </c>
      <c r="AG14" s="71" t="n">
        <v>1</v>
      </c>
      <c r="AH14" s="74"/>
      <c r="AI14" s="71"/>
      <c r="AJ14" s="71"/>
      <c r="AL14" s="71"/>
      <c r="AM14" s="71"/>
      <c r="AN14" s="71"/>
      <c r="AO14" s="72"/>
      <c r="AP14" s="71"/>
      <c r="AQ14" s="71"/>
      <c r="AR14" s="72"/>
      <c r="AS14" s="72"/>
      <c r="AT14" s="72"/>
      <c r="AU14" s="71"/>
      <c r="AV14" s="73"/>
      <c r="AW14" s="71"/>
      <c r="AX14" s="71"/>
      <c r="AY14" s="71"/>
      <c r="AZ14" s="71"/>
      <c r="BA14" s="71"/>
      <c r="BB14" s="71"/>
      <c r="BC14" s="73"/>
      <c r="BD14" s="71"/>
      <c r="BE14" s="71"/>
      <c r="BF14" s="71"/>
      <c r="BG14" s="71"/>
      <c r="BH14" s="71"/>
      <c r="BI14" s="73"/>
      <c r="BJ14" s="74"/>
      <c r="BK14" s="62"/>
      <c r="BL14" s="63"/>
      <c r="BM14" s="64"/>
    </row>
    <row r="15" customFormat="false" ht="12.8" hidden="false" customHeight="false" outlineLevel="0" collapsed="false">
      <c r="A15" s="14" t="s">
        <v>29</v>
      </c>
      <c r="B15" s="15" t="s">
        <v>26</v>
      </c>
      <c r="C15" s="15"/>
      <c r="D15" s="15"/>
      <c r="E15" s="41" t="s">
        <v>41</v>
      </c>
      <c r="F15" s="41" t="s">
        <v>43</v>
      </c>
      <c r="G15" s="65" t="n">
        <f aca="false">Netzplan!J15</f>
        <v>1</v>
      </c>
      <c r="H15" s="66" t="n">
        <f aca="false">SUM(I15:BJ15)</f>
        <v>1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 t="n">
        <v>1</v>
      </c>
      <c r="AI15" s="71"/>
      <c r="AJ15" s="71"/>
      <c r="AL15" s="71"/>
      <c r="AM15" s="74"/>
      <c r="AO15" s="71"/>
      <c r="AP15" s="71"/>
      <c r="AQ15" s="71"/>
      <c r="AR15" s="74"/>
      <c r="AS15" s="72"/>
      <c r="AT15" s="71"/>
      <c r="AU15" s="71"/>
      <c r="AV15" s="73"/>
      <c r="AW15" s="71"/>
      <c r="AX15" s="71"/>
      <c r="AY15" s="71"/>
      <c r="AZ15" s="71"/>
      <c r="BA15" s="71"/>
      <c r="BB15" s="71"/>
      <c r="BC15" s="73"/>
      <c r="BD15" s="71"/>
      <c r="BE15" s="71"/>
      <c r="BF15" s="71"/>
      <c r="BG15" s="71"/>
      <c r="BH15" s="71"/>
      <c r="BI15" s="73"/>
      <c r="BJ15" s="74"/>
      <c r="BK15" s="62"/>
      <c r="BL15" s="63"/>
      <c r="BM15" s="64"/>
    </row>
    <row r="16" customFormat="false" ht="12.8" hidden="false" customHeight="false" outlineLevel="0" collapsed="false">
      <c r="A16" s="14" t="s">
        <v>43</v>
      </c>
      <c r="B16" s="15" t="s">
        <v>42</v>
      </c>
      <c r="C16" s="15"/>
      <c r="D16" s="15"/>
      <c r="E16" s="41" t="s">
        <v>29</v>
      </c>
      <c r="F16" s="41" t="s">
        <v>44</v>
      </c>
      <c r="G16" s="65" t="n">
        <f aca="false">Netzplan!J16</f>
        <v>4</v>
      </c>
      <c r="H16" s="66" t="n">
        <f aca="false">SUM(I16:BJ16)</f>
        <v>4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 t="n">
        <v>1</v>
      </c>
      <c r="AL16" s="71" t="n">
        <v>1</v>
      </c>
      <c r="AM16" s="74" t="n">
        <v>1</v>
      </c>
      <c r="AN16" s="74" t="n">
        <v>1</v>
      </c>
      <c r="AO16" s="74"/>
      <c r="AP16" s="71"/>
      <c r="AQ16" s="71"/>
      <c r="AR16" s="71"/>
      <c r="AS16" s="74"/>
      <c r="AT16" s="71"/>
      <c r="AU16" s="72"/>
      <c r="AV16" s="73"/>
      <c r="AW16" s="71"/>
      <c r="AX16" s="71"/>
      <c r="AY16" s="72"/>
      <c r="AZ16" s="72"/>
      <c r="BA16" s="72"/>
      <c r="BB16" s="71"/>
      <c r="BC16" s="73"/>
      <c r="BD16" s="71"/>
      <c r="BE16" s="71"/>
      <c r="BF16" s="71"/>
      <c r="BG16" s="71"/>
      <c r="BH16" s="71"/>
      <c r="BI16" s="73"/>
      <c r="BJ16" s="74"/>
      <c r="BK16" s="62"/>
      <c r="BL16" s="63"/>
      <c r="BM16" s="64"/>
    </row>
    <row r="17" customFormat="false" ht="12.8" hidden="false" customHeight="false" outlineLevel="0" collapsed="false">
      <c r="A17" s="17" t="s">
        <v>44</v>
      </c>
      <c r="B17" s="18" t="s">
        <v>45</v>
      </c>
      <c r="C17" s="18"/>
      <c r="D17" s="18"/>
      <c r="E17" s="45" t="s">
        <v>60</v>
      </c>
      <c r="F17" s="46"/>
      <c r="G17" s="65" t="n">
        <f aca="false">Netzplan!J17</f>
        <v>1</v>
      </c>
      <c r="H17" s="66" t="n">
        <f aca="false">SUM(I17:BJ17)</f>
        <v>1</v>
      </c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8"/>
      <c r="AW17" s="77"/>
      <c r="AX17" s="77"/>
      <c r="AY17" s="79" t="n">
        <v>1</v>
      </c>
      <c r="AZ17" s="79"/>
      <c r="BA17" s="77"/>
      <c r="BB17" s="77"/>
      <c r="BC17" s="78"/>
      <c r="BD17" s="77"/>
      <c r="BE17" s="77"/>
      <c r="BF17" s="77"/>
      <c r="BG17" s="77"/>
      <c r="BH17" s="77"/>
      <c r="BI17" s="78"/>
      <c r="BJ17" s="80"/>
      <c r="BK17" s="62"/>
      <c r="BL17" s="63"/>
      <c r="BM17" s="64"/>
    </row>
    <row r="20" customFormat="false" ht="12.8" hidden="false" customHeight="false" outlineLevel="0" collapsed="false">
      <c r="A20" s="0" t="s">
        <v>78</v>
      </c>
    </row>
  </sheetData>
  <mergeCells count="17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</mergeCells>
  <conditionalFormatting sqref="I13:BF13 I10:AC12 AE10:BF11 I16:BF17 I14:AJ15 AL14:BF14 AL15:AM15 AO15:BF15 I1:BF9 AD12:BF12">
    <cfRule type="expression" priority="2" aboveAverage="0" equalAverage="0" bottom="0" percent="0" rank="0" text="" dxfId="1">
      <formula>IF(OR(WEEKDAY(I$1)=7,WEEKDAY(I$1)=1),1,0)</formula>
    </cfRule>
  </conditionalFormatting>
  <conditionalFormatting sqref="H2:H17">
    <cfRule type="expression" priority="3" aboveAverage="0" equalAverage="0" bottom="0" percent="0" rank="0" text="" dxfId="2">
      <formula>IF(H2&lt;&gt;G2,TRUE())</formula>
    </cfRule>
  </conditionalFormatting>
  <conditionalFormatting sqref="I13:BF13 I10:AC12 AE10:BF11 I16:BF17 I14:AJ15 AL14:BF14 AL15:AM15 AO15:BF15 I2:BF9 AD12:BF12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1154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2022-03-09T08:45:23Z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