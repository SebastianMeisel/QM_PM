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2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2" sheetId="1" state="visible" r:id="rId2"/>
    <sheet name="Tabelle3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<sst xmlns="http://schemas.openxmlformats.org/spreadsheetml/2006/main" count="108" uniqueCount="40">
  <si>
    <t xml:space="preserve">ID</t>
  </si>
  <si>
    <t xml:space="preserve">Vorgänger</t>
  </si>
  <si>
    <t xml:space="preserve">Nachfolger</t>
  </si>
  <si>
    <t xml:space="preserve">Aufwand</t>
  </si>
  <si>
    <t xml:space="preserve">Personen</t>
  </si>
  <si>
    <t xml:space="preserve">Kapazität</t>
  </si>
  <si>
    <t xml:space="preserve">Dauer</t>
  </si>
  <si>
    <t xml:space="preserve">A</t>
  </si>
  <si>
    <t xml:space="preserve"> </t>
  </si>
  <si>
    <t xml:space="preserve">B</t>
  </si>
  <si>
    <t xml:space="preserve">C</t>
  </si>
  <si>
    <t xml:space="preserve">D</t>
  </si>
  <si>
    <t xml:space="preserve">E</t>
  </si>
  <si>
    <t xml:space="preserve">H</t>
  </si>
  <si>
    <t xml:space="preserve">F</t>
  </si>
  <si>
    <t xml:space="preserve">G</t>
  </si>
  <si>
    <t xml:space="preserve">I</t>
  </si>
  <si>
    <t xml:space="preserve">FAZ</t>
  </si>
  <si>
    <t xml:space="preserve">FEZ</t>
  </si>
  <si>
    <t xml:space="preserve">← Früheste</t>
  </si>
  <si>
    <t xml:space="preserve">← ID</t>
  </si>
  <si>
    <t xml:space="preserve">GP</t>
  </si>
  <si>
    <t xml:space="preserve">FP</t>
  </si>
  <si>
    <t xml:space="preserve">← Dauer &amp; Puffer:</t>
  </si>
  <si>
    <t xml:space="preserve">GP:</t>
  </si>
  <si>
    <t xml:space="preserve">Gesamtpuffer im Projekt</t>
  </si>
  <si>
    <t xml:space="preserve">FP:</t>
  </si>
  <si>
    <t xml:space="preserve">Freier Puffer bis zum nächsten Arbeitspaket</t>
  </si>
  <si>
    <t xml:space="preserve">SAZ</t>
  </si>
  <si>
    <t xml:space="preserve">SEZ</t>
  </si>
  <si>
    <t xml:space="preserve">← Späteste</t>
  </si>
  <si>
    <t xml:space="preserve">Anfangszeit →</t>
  </si>
  <si>
    <t xml:space="preserve">Endzeit →</t>
  </si>
  <si>
    <t xml:space="preserve">Kritischer Pfad</t>
  </si>
  <si>
    <t xml:space="preserve"> Frühester Anfangszeitpunkt</t>
  </si>
  <si>
    <t xml:space="preserve">Spätester Anfangszeitpunkt</t>
  </si>
  <si>
    <t xml:space="preserve">Frühester Endzeitpunkt</t>
  </si>
  <si>
    <t xml:space="preserve">Spätester Endzeitpunkt</t>
  </si>
  <si>
    <t xml:space="preserve">Gesamter Puffer (SAZ–FAZ=SEZ–FEZ )</t>
  </si>
  <si>
    <t xml:space="preserve">Freier Puffer (FAZ-Nachfolger – FEZ)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</si>
</sst>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\ %"/>
    <numFmt numFmtId="166" formatCode="0"/>
    <numFmt numFmtId="167" formatCode="General"/>
  </numFmts>
  <fonts count="1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legreya Sans"/>
      <family val="3"/>
      <charset val="1"/>
    </font>
    <font>
      <b val="true"/>
      <sz val="10"/>
      <name val="Alegreya Sans"/>
      <family val="3"/>
      <charset val="1"/>
    </font>
    <font>
      <b val="true"/>
      <sz val="10"/>
      <color rgb="FF000000"/>
      <name val="Arial"/>
      <family val="2"/>
      <charset val="1"/>
    </font>
    <font>
      <b val="true"/>
      <sz val="9"/>
      <name val="Alegreya Sans"/>
      <family val="3"/>
      <charset val="1"/>
    </font>
    <font>
      <sz val="10"/>
      <color rgb="FFC9211E"/>
      <name val="Alegreya Sans"/>
      <family val="3"/>
      <charset val="1"/>
    </font>
    <font>
      <sz val="9"/>
      <name val="Alegreya Sans"/>
      <family val="3"/>
      <charset val="1"/>
    </font>
  </fonts>
  <fills count="8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D7"/>
      </patternFill>
    </fill>
    <fill>
      <patternFill patternType="solid">
        <fgColor rgb="FFFFFFCC"/>
        <bgColor rgb="FFFFFFD7"/>
      </patternFill>
    </fill>
    <fill>
      <patternFill patternType="solid">
        <fgColor rgb="FFFFFFD7"/>
        <bgColor rgb="FFFFFFCC"/>
      </patternFill>
    </fill>
    <fill>
      <patternFill patternType="solid">
        <fgColor rgb="FFE8E8E8"/>
        <bgColor rgb="FFFFFFD7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/>
      <top style="hair"/>
      <bottom style="hair"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/>
      <right style="thick"/>
      <top style="thick"/>
      <bottom/>
      <diagonal/>
    </border>
    <border diagonalUp="false" diagonalDown="false">
      <left/>
      <right/>
      <top style="thick"/>
      <bottom/>
      <diagonal/>
    </border>
    <border diagonalUp="false" diagonalDown="false">
      <left style="thick"/>
      <right/>
      <top style="thick"/>
      <bottom/>
      <diagonal/>
    </border>
    <border diagonalUp="false" diagonalDown="false">
      <left/>
      <right style="thick"/>
      <top/>
      <bottom/>
      <diagonal/>
    </border>
    <border diagonalUp="false" diagonalDown="false">
      <left style="thick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top" textRotation="90" wrapText="false" indent="0" shrinkToFit="false"/>
      <protection locked="true" hidden="false"/>
    </xf>
    <xf numFmtId="164" fontId="0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2"/>
        <b val="1"/>
        <i val="0"/>
        <color rgb="FFFFFFFF"/>
        <sz val="10"/>
      </font>
      <fill>
        <patternFill>
          <bgColor rgb="FFCC0000"/>
        </patternFill>
      </fill>
    </dxf>
    <dxf>
      <font>
        <name val="Arial"/>
        <charset val="1"/>
        <family val="2"/>
        <b val="1"/>
        <i val="0"/>
        <color rgb="FFFFFFFF"/>
        <sz val="10"/>
      </font>
      <fill>
        <patternFill>
          <bgColor rgb="FFCC0000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E8E8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D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117000</xdr:colOff>
      <xdr:row>50</xdr:row>
      <xdr:rowOff>68760</xdr:rowOff>
    </xdr:from>
    <xdr:to>
      <xdr:col>10</xdr:col>
      <xdr:colOff>266760</xdr:colOff>
      <xdr:row>50</xdr:row>
      <xdr:rowOff>68760</xdr:rowOff>
    </xdr:to>
    <xdr:sp>
      <xdr:nvSpPr>
        <xdr:cNvPr id="0" name=""/>
        <xdr:cNvSpPr/>
      </xdr:nvSpPr>
      <xdr:spPr>
        <a:xfrm>
          <a:off x="1198800" y="8196480"/>
          <a:ext cx="1773000" cy="0"/>
        </a:xfrm>
        <a:prstGeom prst="line">
          <a:avLst/>
        </a:prstGeom>
        <a:ln w="12600">
          <a:solidFill>
            <a:srgbClr val="bf0041"/>
          </a:solidFill>
          <a:round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360</xdr:colOff>
      <xdr:row>10</xdr:row>
      <xdr:rowOff>3240</xdr:rowOff>
    </xdr:from>
    <xdr:to>
      <xdr:col>4</xdr:col>
      <xdr:colOff>271080</xdr:colOff>
      <xdr:row>10</xdr:row>
      <xdr:rowOff>3240</xdr:rowOff>
    </xdr:to>
    <xdr:sp>
      <xdr:nvSpPr>
        <xdr:cNvPr id="1" name=""/>
        <xdr:cNvSpPr/>
      </xdr:nvSpPr>
      <xdr:spPr>
        <a:xfrm>
          <a:off x="811800" y="1628640"/>
          <a:ext cx="541080" cy="0"/>
        </a:xfrm>
        <a:prstGeom prst="line">
          <a:avLst/>
        </a:prstGeom>
        <a:ln w="25200">
          <a:solidFill>
            <a:srgbClr val="3465a4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8</xdr:col>
      <xdr:colOff>360</xdr:colOff>
      <xdr:row>10</xdr:row>
      <xdr:rowOff>3240</xdr:rowOff>
    </xdr:from>
    <xdr:to>
      <xdr:col>9</xdr:col>
      <xdr:colOff>271080</xdr:colOff>
      <xdr:row>10</xdr:row>
      <xdr:rowOff>3240</xdr:rowOff>
    </xdr:to>
    <xdr:sp>
      <xdr:nvSpPr>
        <xdr:cNvPr id="2" name=""/>
        <xdr:cNvSpPr/>
      </xdr:nvSpPr>
      <xdr:spPr>
        <a:xfrm>
          <a:off x="2164320" y="1628640"/>
          <a:ext cx="541080" cy="0"/>
        </a:xfrm>
        <a:prstGeom prst="line">
          <a:avLst/>
        </a:prstGeom>
        <a:ln w="25200">
          <a:solidFill>
            <a:srgbClr val="3465a4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13</xdr:col>
      <xdr:colOff>360</xdr:colOff>
      <xdr:row>10</xdr:row>
      <xdr:rowOff>3240</xdr:rowOff>
    </xdr:from>
    <xdr:to>
      <xdr:col>14</xdr:col>
      <xdr:colOff>271080</xdr:colOff>
      <xdr:row>10</xdr:row>
      <xdr:rowOff>3240</xdr:rowOff>
    </xdr:to>
    <xdr:sp>
      <xdr:nvSpPr>
        <xdr:cNvPr id="3" name=""/>
        <xdr:cNvSpPr/>
      </xdr:nvSpPr>
      <xdr:spPr>
        <a:xfrm>
          <a:off x="3516840" y="1628640"/>
          <a:ext cx="541080" cy="0"/>
        </a:xfrm>
        <a:prstGeom prst="line">
          <a:avLst/>
        </a:prstGeom>
        <a:ln w="25200">
          <a:solidFill>
            <a:srgbClr val="3465a4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264600</xdr:colOff>
      <xdr:row>16</xdr:row>
      <xdr:rowOff>2880</xdr:rowOff>
    </xdr:from>
    <xdr:to>
      <xdr:col>4</xdr:col>
      <xdr:colOff>271080</xdr:colOff>
      <xdr:row>16</xdr:row>
      <xdr:rowOff>2880</xdr:rowOff>
    </xdr:to>
    <xdr:sp>
      <xdr:nvSpPr>
        <xdr:cNvPr id="4" name=""/>
        <xdr:cNvSpPr/>
      </xdr:nvSpPr>
      <xdr:spPr>
        <a:xfrm>
          <a:off x="1076040" y="2603520"/>
          <a:ext cx="276840" cy="0"/>
        </a:xfrm>
        <a:prstGeom prst="line">
          <a:avLst/>
        </a:prstGeom>
        <a:ln w="25200">
          <a:solidFill>
            <a:srgbClr val="3465a4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8</xdr:col>
      <xdr:colOff>360</xdr:colOff>
      <xdr:row>16</xdr:row>
      <xdr:rowOff>2520</xdr:rowOff>
    </xdr:from>
    <xdr:to>
      <xdr:col>9</xdr:col>
      <xdr:colOff>6840</xdr:colOff>
      <xdr:row>16</xdr:row>
      <xdr:rowOff>2520</xdr:rowOff>
    </xdr:to>
    <xdr:sp>
      <xdr:nvSpPr>
        <xdr:cNvPr id="5" name=""/>
        <xdr:cNvSpPr/>
      </xdr:nvSpPr>
      <xdr:spPr>
        <a:xfrm>
          <a:off x="2164320" y="2603160"/>
          <a:ext cx="276840" cy="0"/>
        </a:xfrm>
        <a:prstGeom prst="line">
          <a:avLst/>
        </a:prstGeom>
        <a:ln w="25200">
          <a:solidFill>
            <a:srgbClr val="3465a4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1440</xdr:colOff>
      <xdr:row>10</xdr:row>
      <xdr:rowOff>1440</xdr:rowOff>
    </xdr:from>
    <xdr:to>
      <xdr:col>4</xdr:col>
      <xdr:colOff>7920</xdr:colOff>
      <xdr:row>16</xdr:row>
      <xdr:rowOff>18360</xdr:rowOff>
    </xdr:to>
    <xdr:sp>
      <xdr:nvSpPr>
        <xdr:cNvPr id="6" name=""/>
        <xdr:cNvSpPr/>
      </xdr:nvSpPr>
      <xdr:spPr>
        <a:xfrm>
          <a:off x="1083240" y="1626840"/>
          <a:ext cx="6480" cy="992160"/>
        </a:xfrm>
        <a:prstGeom prst="line">
          <a:avLst/>
        </a:prstGeom>
        <a:ln w="25200">
          <a:solidFill>
            <a:srgbClr val="3465a4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9</xdr:col>
      <xdr:colOff>1440</xdr:colOff>
      <xdr:row>10</xdr:row>
      <xdr:rowOff>720</xdr:rowOff>
    </xdr:from>
    <xdr:to>
      <xdr:col>9</xdr:col>
      <xdr:colOff>7920</xdr:colOff>
      <xdr:row>16</xdr:row>
      <xdr:rowOff>17640</xdr:rowOff>
    </xdr:to>
    <xdr:sp>
      <xdr:nvSpPr>
        <xdr:cNvPr id="7" name=""/>
        <xdr:cNvSpPr/>
      </xdr:nvSpPr>
      <xdr:spPr>
        <a:xfrm>
          <a:off x="2435760" y="1626120"/>
          <a:ext cx="6480" cy="992160"/>
        </a:xfrm>
        <a:prstGeom prst="line">
          <a:avLst/>
        </a:prstGeom>
        <a:ln w="25200">
          <a:solidFill>
            <a:srgbClr val="3465a4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G44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J6" activeCellId="0" sqref="J6"/>
    </sheetView>
  </sheetViews>
  <sheetFormatPr defaultColWidth="11.66015625" defaultRowHeight="12.8" zeroHeight="false" outlineLevelRow="0" outlineLevelCol="0"/>
  <cols>
    <col collapsed="false" customWidth="true" hidden="false" outlineLevel="0" max="7" min="1" style="0" width="3.83"/>
    <col collapsed="false" customWidth="true" hidden="false" outlineLevel="0" max="8" min="8" style="0" width="8.74"/>
    <col collapsed="false" customWidth="true" hidden="false" outlineLevel="0" max="10" min="9" style="0" width="9.35"/>
    <col collapsed="false" customWidth="true" hidden="false" outlineLevel="0" max="11" min="11" style="0" width="6.57"/>
    <col collapsed="false" customWidth="true" hidden="false" outlineLevel="0" max="64" min="12" style="0" width="3.83"/>
  </cols>
  <sheetData>
    <row r="1" customFormat="false" ht="12.8" hidden="false" customHeight="false" outlineLevel="0" collapsed="false">
      <c r="A1" s="1" t="s">
        <v>0</v>
      </c>
      <c r="B1" s="2" t="s">
        <v>1</v>
      </c>
      <c r="C1" s="2"/>
      <c r="D1" s="2"/>
      <c r="E1" s="3" t="s">
        <v>2</v>
      </c>
      <c r="F1" s="3"/>
      <c r="G1" s="3"/>
      <c r="H1" s="3" t="s">
        <v>3</v>
      </c>
      <c r="I1" s="3" t="s">
        <v>4</v>
      </c>
      <c r="J1" s="4" t="s">
        <v>5</v>
      </c>
      <c r="K1" s="1" t="s">
        <v>6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 customFormat="false" ht="12.8" hidden="false" customHeight="false" outlineLevel="0" collapsed="false">
      <c r="A2" s="1" t="s">
        <v>7</v>
      </c>
      <c r="B2" s="6" t="s">
        <v>8</v>
      </c>
      <c r="C2" s="7" t="s">
        <v>8</v>
      </c>
      <c r="D2" s="8"/>
      <c r="E2" s="9" t="s">
        <v>9</v>
      </c>
      <c r="F2" s="9" t="s">
        <v>10</v>
      </c>
      <c r="G2" s="9"/>
      <c r="H2" s="1" t="n">
        <v>6</v>
      </c>
      <c r="I2" s="1" t="n">
        <v>1</v>
      </c>
      <c r="J2" s="10" t="n">
        <v>1</v>
      </c>
      <c r="K2" s="11" t="n">
        <f aca="false">ROUNDUP(H2/(I2*J2),0)</f>
        <v>6</v>
      </c>
      <c r="L2" s="5"/>
      <c r="M2" s="5"/>
      <c r="N2" s="5"/>
      <c r="O2" s="5"/>
      <c r="P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 customFormat="false" ht="12.8" hidden="false" customHeight="false" outlineLevel="0" collapsed="false">
      <c r="A3" s="1" t="s">
        <v>9</v>
      </c>
      <c r="B3" s="12" t="s">
        <v>7</v>
      </c>
      <c r="C3" s="9"/>
      <c r="D3" s="13"/>
      <c r="E3" s="9" t="s">
        <v>11</v>
      </c>
      <c r="F3" s="9"/>
      <c r="G3" s="9"/>
      <c r="H3" s="1" t="n">
        <v>7</v>
      </c>
      <c r="I3" s="1" t="n">
        <v>1</v>
      </c>
      <c r="J3" s="14" t="n">
        <v>0.35</v>
      </c>
      <c r="K3" s="11" t="n">
        <f aca="false">ROUNDUP(H3/(I3*J3),0)</f>
        <v>20</v>
      </c>
      <c r="L3" s="5"/>
      <c r="M3" s="5"/>
      <c r="N3" s="5"/>
      <c r="O3" s="5"/>
      <c r="P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customFormat="false" ht="12.8" hidden="false" customHeight="false" outlineLevel="0" collapsed="false">
      <c r="A4" s="1" t="s">
        <v>10</v>
      </c>
      <c r="B4" s="12" t="s">
        <v>7</v>
      </c>
      <c r="C4" s="9"/>
      <c r="D4" s="13"/>
      <c r="E4" s="9" t="s">
        <v>12</v>
      </c>
      <c r="F4" s="9"/>
      <c r="G4" s="9"/>
      <c r="H4" s="1" t="n">
        <v>4</v>
      </c>
      <c r="I4" s="1" t="n">
        <v>1</v>
      </c>
      <c r="J4" s="14" t="n">
        <v>0.65</v>
      </c>
      <c r="K4" s="11" t="n">
        <f aca="false">ROUNDUP(H4/(I4*J4),0)</f>
        <v>7</v>
      </c>
      <c r="L4" s="5"/>
      <c r="M4" s="5"/>
      <c r="N4" s="5"/>
      <c r="O4" s="5"/>
      <c r="P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 customFormat="false" ht="12.8" hidden="false" customHeight="false" outlineLevel="0" collapsed="false">
      <c r="A5" s="1" t="s">
        <v>12</v>
      </c>
      <c r="B5" s="12" t="s">
        <v>10</v>
      </c>
      <c r="C5" s="9"/>
      <c r="D5" s="13"/>
      <c r="E5" s="9" t="s">
        <v>13</v>
      </c>
      <c r="F5" s="9"/>
      <c r="G5" s="9"/>
      <c r="H5" s="1" t="n">
        <v>9</v>
      </c>
      <c r="I5" s="1" t="n">
        <v>1</v>
      </c>
      <c r="J5" s="14" t="n">
        <v>0.7</v>
      </c>
      <c r="K5" s="11" t="n">
        <f aca="false">ROUNDUP(H5/(I5*J5),0)</f>
        <v>13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</row>
    <row r="6" customFormat="false" ht="12.8" hidden="false" customHeight="false" outlineLevel="0" collapsed="false">
      <c r="A6" s="1" t="s">
        <v>14</v>
      </c>
      <c r="B6" s="12" t="s">
        <v>11</v>
      </c>
      <c r="C6" s="9"/>
      <c r="D6" s="13"/>
      <c r="E6" s="9" t="s">
        <v>15</v>
      </c>
      <c r="F6" s="9"/>
      <c r="G6" s="9"/>
      <c r="H6" s="1" t="n">
        <v>3</v>
      </c>
      <c r="I6" s="1" t="n">
        <v>1</v>
      </c>
      <c r="J6" s="14" t="n">
        <v>0.35</v>
      </c>
      <c r="K6" s="11" t="n">
        <f aca="false">ROUNDUP(H6/(I6*J6),0)</f>
        <v>9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</row>
    <row r="7" customFormat="false" ht="12.8" hidden="false" customHeight="false" outlineLevel="0" collapsed="false">
      <c r="A7" s="1" t="s">
        <v>15</v>
      </c>
      <c r="B7" s="12" t="s">
        <v>14</v>
      </c>
      <c r="C7" s="9"/>
      <c r="D7" s="13"/>
      <c r="E7" s="9" t="s">
        <v>16</v>
      </c>
      <c r="F7" s="9"/>
      <c r="G7" s="9"/>
      <c r="H7" s="1" t="n">
        <v>3</v>
      </c>
      <c r="I7" s="1" t="n">
        <v>1</v>
      </c>
      <c r="J7" s="10" t="n">
        <v>1</v>
      </c>
      <c r="K7" s="11" t="n">
        <f aca="false">ROUNDUP(H7/(I7*J7),0)</f>
        <v>3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</row>
    <row r="8" customFormat="false" ht="12.8" hidden="false" customHeight="false" outlineLevel="0" collapsed="false">
      <c r="A8" s="1" t="s">
        <v>13</v>
      </c>
      <c r="B8" s="12" t="s">
        <v>12</v>
      </c>
      <c r="C8" s="9"/>
      <c r="D8" s="13"/>
      <c r="E8" s="9" t="s">
        <v>16</v>
      </c>
      <c r="F8" s="9"/>
      <c r="G8" s="9"/>
      <c r="H8" s="1" t="n">
        <v>7</v>
      </c>
      <c r="I8" s="1" t="n">
        <v>1</v>
      </c>
      <c r="J8" s="14" t="n">
        <v>0.65</v>
      </c>
      <c r="K8" s="11" t="n">
        <f aca="false">ROUNDUP(H8/(I8*J8),0)</f>
        <v>11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</row>
    <row r="9" customFormat="false" ht="12.8" hidden="false" customHeight="false" outlineLevel="0" collapsed="false">
      <c r="A9" s="1" t="s">
        <v>16</v>
      </c>
      <c r="B9" s="12" t="s">
        <v>15</v>
      </c>
      <c r="C9" s="9" t="s">
        <v>13</v>
      </c>
      <c r="D9" s="13"/>
      <c r="E9" s="7"/>
      <c r="F9" s="7"/>
      <c r="G9" s="7"/>
      <c r="H9" s="1" t="n">
        <v>9</v>
      </c>
      <c r="I9" s="1" t="n">
        <v>1</v>
      </c>
      <c r="J9" s="10" t="n">
        <v>1</v>
      </c>
      <c r="K9" s="11" t="n">
        <f aca="false">ROUNDUP(H9/(I9*J9),0)</f>
        <v>9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</row>
    <row r="10" customFormat="false" ht="12.8" hidden="false" customHeight="false" outlineLevel="0" collapsed="false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</row>
    <row r="11" customFormat="false" ht="12.8" hidden="false" customHeight="false" outlineLevel="0" collapsed="false">
      <c r="A11" s="5"/>
      <c r="B11" s="5"/>
      <c r="C11" s="5"/>
      <c r="D11" s="5"/>
      <c r="E11" s="5"/>
      <c r="F11" s="5"/>
      <c r="G11" s="5"/>
      <c r="H11" s="5"/>
      <c r="I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</row>
    <row r="12" customFormat="false" ht="12.8" hidden="false" customHeight="false" outlineLevel="0" collapsed="false">
      <c r="A12" s="15" t="n">
        <v>0</v>
      </c>
      <c r="B12" s="5"/>
      <c r="C12" s="16" t="n">
        <f aca="false">A12+A14</f>
        <v>6</v>
      </c>
      <c r="D12" s="5"/>
      <c r="E12" s="5"/>
      <c r="F12" s="15" t="n">
        <f aca="false">C12</f>
        <v>6</v>
      </c>
      <c r="G12" s="5"/>
      <c r="H12" s="16" t="n">
        <f aca="false">F12+F14</f>
        <v>26</v>
      </c>
      <c r="I12" s="5"/>
      <c r="O12" s="5"/>
      <c r="P12" s="15" t="n">
        <f aca="false">H12</f>
        <v>26</v>
      </c>
      <c r="Q12" s="5"/>
      <c r="R12" s="16" t="n">
        <f aca="false">P12+P14</f>
        <v>35</v>
      </c>
      <c r="S12" s="5"/>
      <c r="T12" s="5"/>
      <c r="U12" s="15" t="n">
        <f aca="false">MAX(R18,R12)</f>
        <v>37</v>
      </c>
      <c r="V12" s="5"/>
      <c r="W12" s="16" t="n">
        <f aca="false">U12+U14</f>
        <v>40</v>
      </c>
      <c r="X12" s="5"/>
      <c r="Y12" s="5"/>
      <c r="Z12" s="15" t="n">
        <f aca="false">W12</f>
        <v>40</v>
      </c>
      <c r="AA12" s="5"/>
      <c r="AB12" s="16" t="n">
        <f aca="false">Z12+Z14</f>
        <v>49</v>
      </c>
      <c r="AC12" s="5"/>
      <c r="AD12" s="5"/>
    </row>
    <row r="13" customFormat="false" ht="12.8" hidden="false" customHeight="false" outlineLevel="0" collapsed="false">
      <c r="A13" s="17" t="s">
        <v>7</v>
      </c>
      <c r="B13" s="17"/>
      <c r="C13" s="17"/>
      <c r="D13" s="5"/>
      <c r="E13" s="5"/>
      <c r="F13" s="17" t="s">
        <v>9</v>
      </c>
      <c r="G13" s="17"/>
      <c r="H13" s="17"/>
      <c r="I13" s="5"/>
      <c r="O13" s="5"/>
      <c r="P13" s="17" t="s">
        <v>14</v>
      </c>
      <c r="Q13" s="17"/>
      <c r="R13" s="17"/>
      <c r="S13" s="5"/>
      <c r="T13" s="5"/>
      <c r="U13" s="17" t="s">
        <v>15</v>
      </c>
      <c r="V13" s="17"/>
      <c r="W13" s="17"/>
      <c r="X13" s="5"/>
      <c r="Y13" s="5"/>
      <c r="Z13" s="17" t="s">
        <v>16</v>
      </c>
      <c r="AA13" s="17"/>
      <c r="AB13" s="17"/>
      <c r="AC13" s="5"/>
      <c r="AD13" s="5"/>
    </row>
    <row r="14" customFormat="false" ht="13.5" hidden="false" customHeight="false" outlineLevel="0" collapsed="false">
      <c r="A14" s="18" t="n">
        <f aca="false">K2</f>
        <v>6</v>
      </c>
      <c r="B14" s="19" t="n">
        <f aca="false">C15-C12</f>
        <v>0</v>
      </c>
      <c r="C14" s="20"/>
      <c r="D14" s="21"/>
      <c r="E14" s="22"/>
      <c r="F14" s="23" t="n">
        <f aca="false">K3</f>
        <v>20</v>
      </c>
      <c r="G14" s="19" t="n">
        <f aca="false">H15-H12</f>
        <v>2</v>
      </c>
      <c r="H14" s="20"/>
      <c r="I14" s="22"/>
      <c r="J14" s="24"/>
      <c r="K14" s="24"/>
      <c r="L14" s="24"/>
      <c r="M14" s="24"/>
      <c r="N14" s="24"/>
      <c r="O14" s="22"/>
      <c r="P14" s="23" t="n">
        <f aca="false">K6</f>
        <v>9</v>
      </c>
      <c r="Q14" s="19" t="n">
        <f aca="false">R15-R12</f>
        <v>2</v>
      </c>
      <c r="R14" s="20"/>
      <c r="S14" s="22"/>
      <c r="T14" s="25"/>
      <c r="U14" s="23" t="n">
        <f aca="false">K7</f>
        <v>3</v>
      </c>
      <c r="V14" s="19" t="n">
        <f aca="false">W15-W12</f>
        <v>0</v>
      </c>
      <c r="W14" s="20"/>
      <c r="X14" s="22"/>
      <c r="Y14" s="22"/>
      <c r="Z14" s="23" t="n">
        <f aca="false">K9</f>
        <v>9</v>
      </c>
      <c r="AA14" s="19" t="n">
        <f aca="false">AB15-AB12</f>
        <v>0</v>
      </c>
      <c r="AB14" s="20"/>
      <c r="AC14" s="5"/>
      <c r="AD14" s="5"/>
    </row>
    <row r="15" customFormat="false" ht="12.8" hidden="false" customHeight="false" outlineLevel="0" collapsed="false">
      <c r="A15" s="26" t="n">
        <v>0</v>
      </c>
      <c r="B15" s="5"/>
      <c r="C15" s="27" t="n">
        <f aca="false">MIN(F15,F21)</f>
        <v>6</v>
      </c>
      <c r="D15" s="28"/>
      <c r="E15" s="5"/>
      <c r="F15" s="26" t="n">
        <f aca="false">H15-F14</f>
        <v>8</v>
      </c>
      <c r="G15" s="5"/>
      <c r="H15" s="27" t="n">
        <f aca="false">P15</f>
        <v>28</v>
      </c>
      <c r="I15" s="5"/>
      <c r="O15" s="5"/>
      <c r="P15" s="26" t="n">
        <f aca="false">R15-P14</f>
        <v>28</v>
      </c>
      <c r="Q15" s="5"/>
      <c r="R15" s="27" t="n">
        <f aca="false">U15</f>
        <v>37</v>
      </c>
      <c r="S15" s="5"/>
      <c r="T15" s="29"/>
      <c r="U15" s="26" t="n">
        <f aca="false">W15-U14</f>
        <v>37</v>
      </c>
      <c r="V15" s="5"/>
      <c r="W15" s="27" t="n">
        <f aca="false">Z15</f>
        <v>40</v>
      </c>
      <c r="X15" s="5"/>
      <c r="Y15" s="5"/>
      <c r="Z15" s="26" t="n">
        <f aca="false">AB15-Z14</f>
        <v>40</v>
      </c>
      <c r="AA15" s="5"/>
      <c r="AB15" s="27" t="n">
        <f aca="false">AB12</f>
        <v>49</v>
      </c>
      <c r="AC15" s="5"/>
      <c r="AD15" s="5"/>
    </row>
    <row r="16" customFormat="false" ht="12.8" hidden="false" customHeight="false" outlineLevel="0" collapsed="false">
      <c r="A16" s="5"/>
      <c r="B16" s="5"/>
      <c r="C16" s="5"/>
      <c r="D16" s="30"/>
      <c r="T16" s="31"/>
    </row>
    <row r="17" customFormat="false" ht="12.8" hidden="false" customHeight="false" outlineLevel="0" collapsed="false">
      <c r="A17" s="5"/>
      <c r="B17" s="5"/>
      <c r="C17" s="5"/>
      <c r="D17" s="30"/>
      <c r="T17" s="31"/>
    </row>
    <row r="18" customFormat="false" ht="12.8" hidden="false" customHeight="false" outlineLevel="0" collapsed="false">
      <c r="A18" s="5"/>
      <c r="B18" s="5"/>
      <c r="C18" s="5"/>
      <c r="D18" s="30"/>
      <c r="F18" s="15" t="n">
        <f aca="false">C12</f>
        <v>6</v>
      </c>
      <c r="G18" s="5"/>
      <c r="H18" s="16" t="n">
        <f aca="false">F18+F20</f>
        <v>13</v>
      </c>
      <c r="K18" s="15" t="n">
        <f aca="false">H18</f>
        <v>13</v>
      </c>
      <c r="L18" s="5"/>
      <c r="M18" s="16" t="n">
        <f aca="false">K18+K20</f>
        <v>26</v>
      </c>
      <c r="P18" s="15" t="n">
        <f aca="false">M18</f>
        <v>26</v>
      </c>
      <c r="Q18" s="5"/>
      <c r="R18" s="16" t="n">
        <f aca="false">P18+P20</f>
        <v>37</v>
      </c>
      <c r="T18" s="31"/>
    </row>
    <row r="19" customFormat="false" ht="12.8" hidden="false" customHeight="false" outlineLevel="0" collapsed="false">
      <c r="D19" s="30"/>
      <c r="F19" s="17" t="s">
        <v>10</v>
      </c>
      <c r="G19" s="17"/>
      <c r="H19" s="17"/>
      <c r="K19" s="17" t="s">
        <v>12</v>
      </c>
      <c r="L19" s="17"/>
      <c r="M19" s="17"/>
      <c r="P19" s="17" t="s">
        <v>13</v>
      </c>
      <c r="Q19" s="17"/>
      <c r="R19" s="17"/>
      <c r="T19" s="31"/>
    </row>
    <row r="20" customFormat="false" ht="12.8" hidden="false" customHeight="false" outlineLevel="0" collapsed="false">
      <c r="E20" s="22"/>
      <c r="F20" s="23" t="n">
        <f aca="false">K4</f>
        <v>7</v>
      </c>
      <c r="G20" s="19" t="n">
        <f aca="false">H21-H18</f>
        <v>0</v>
      </c>
      <c r="H20" s="20"/>
      <c r="I20" s="22"/>
      <c r="J20" s="22"/>
      <c r="K20" s="23" t="n">
        <f aca="false">K5</f>
        <v>13</v>
      </c>
      <c r="L20" s="19" t="n">
        <f aca="false">M21-M18</f>
        <v>0</v>
      </c>
      <c r="M20" s="20"/>
      <c r="N20" s="22"/>
      <c r="O20" s="22"/>
      <c r="P20" s="23" t="n">
        <f aca="false">K8</f>
        <v>11</v>
      </c>
      <c r="Q20" s="19" t="n">
        <f aca="false">R21-R18</f>
        <v>0</v>
      </c>
      <c r="R20" s="20"/>
      <c r="S20" s="22"/>
    </row>
    <row r="21" customFormat="false" ht="12.8" hidden="false" customHeight="false" outlineLevel="0" collapsed="false">
      <c r="F21" s="26" t="n">
        <f aca="false">H21-F20</f>
        <v>6</v>
      </c>
      <c r="G21" s="5"/>
      <c r="H21" s="27" t="n">
        <f aca="false">K21</f>
        <v>13</v>
      </c>
      <c r="K21" s="26" t="n">
        <f aca="false">M21-K20</f>
        <v>13</v>
      </c>
      <c r="L21" s="5"/>
      <c r="M21" s="27" t="n">
        <f aca="false">P21</f>
        <v>26</v>
      </c>
      <c r="P21" s="26" t="n">
        <f aca="false">R21-P20</f>
        <v>26</v>
      </c>
      <c r="Q21" s="5"/>
      <c r="R21" s="27" t="n">
        <f aca="false">U15</f>
        <v>37</v>
      </c>
    </row>
    <row r="23" customFormat="false" ht="12.8" hidden="false" customHeight="false" outlineLevel="0" collapsed="false">
      <c r="A23" s="5"/>
      <c r="B23" s="5"/>
      <c r="C23" s="5"/>
    </row>
    <row r="24" customFormat="false" ht="12.8" hidden="false" customHeight="false" outlineLevel="0" collapsed="false">
      <c r="A24" s="5"/>
      <c r="B24" s="5"/>
      <c r="C24" s="5"/>
    </row>
    <row r="25" customFormat="false" ht="12.8" hidden="false" customHeight="false" outlineLevel="0" collapsed="false">
      <c r="A25" s="5"/>
      <c r="B25" s="5"/>
      <c r="C25" s="5"/>
    </row>
    <row r="26" customFormat="false" ht="12.8" hidden="false" customHeight="false" outlineLevel="0" collapsed="false">
      <c r="A26" s="5"/>
      <c r="B26" s="5"/>
      <c r="C26" s="5"/>
    </row>
    <row r="27" customFormat="false" ht="12.8" hidden="false" customHeight="false" outlineLevel="0" collapsed="false">
      <c r="A27" s="5"/>
      <c r="B27" s="5"/>
      <c r="C27" s="5"/>
    </row>
    <row r="28" customFormat="false" ht="12.8" hidden="false" customHeight="false" outlineLevel="0" collapsed="false">
      <c r="A28" s="5"/>
      <c r="B28" s="5"/>
      <c r="C28" s="5"/>
    </row>
    <row r="29" customFormat="false" ht="12.8" hidden="false" customHeight="false" outlineLevel="0" collapsed="false">
      <c r="A29" s="5"/>
      <c r="B29" s="5"/>
      <c r="C29" s="5"/>
    </row>
    <row r="30" customFormat="false" ht="12.8" hidden="false" customHeight="false" outlineLevel="0" collapsed="false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</row>
    <row r="32" customFormat="false" ht="12.8" hidden="false" customHeight="false" outlineLevel="0" collapsed="false">
      <c r="A32" s="15" t="s">
        <v>17</v>
      </c>
      <c r="B32" s="5"/>
      <c r="C32" s="16" t="s">
        <v>18</v>
      </c>
      <c r="D32" s="32" t="s">
        <v>19</v>
      </c>
      <c r="E32" s="32"/>
      <c r="F32" s="32"/>
      <c r="G32" s="32"/>
      <c r="H32" s="32"/>
    </row>
    <row r="33" customFormat="false" ht="12.8" hidden="false" customHeight="false" outlineLevel="0" collapsed="false">
      <c r="A33" s="17" t="s">
        <v>7</v>
      </c>
      <c r="B33" s="17"/>
      <c r="C33" s="17"/>
      <c r="D33" s="32" t="s">
        <v>20</v>
      </c>
      <c r="E33" s="32"/>
      <c r="F33" s="32"/>
      <c r="G33" s="32"/>
      <c r="H33" s="32"/>
    </row>
    <row r="34" customFormat="false" ht="13.4" hidden="false" customHeight="false" outlineLevel="0" collapsed="false">
      <c r="A34" s="23" t="s">
        <v>11</v>
      </c>
      <c r="B34" s="33" t="s">
        <v>21</v>
      </c>
      <c r="C34" s="20" t="s">
        <v>22</v>
      </c>
      <c r="D34" s="32" t="s">
        <v>23</v>
      </c>
      <c r="E34" s="32"/>
      <c r="F34" s="32"/>
      <c r="G34" s="32"/>
      <c r="H34" s="32"/>
      <c r="I34" s="0" t="s">
        <v>24</v>
      </c>
      <c r="J34" s="32" t="s">
        <v>25</v>
      </c>
      <c r="K34" s="32"/>
      <c r="L34" s="32"/>
      <c r="M34" s="32"/>
      <c r="N34" s="32"/>
      <c r="O34" s="32"/>
      <c r="P34" s="32"/>
      <c r="Q34" s="0" t="s">
        <v>26</v>
      </c>
      <c r="R34" s="32" t="s">
        <v>27</v>
      </c>
      <c r="S34" s="32"/>
      <c r="T34" s="32"/>
      <c r="U34" s="32"/>
      <c r="V34" s="32"/>
      <c r="W34" s="32"/>
      <c r="X34" s="32"/>
      <c r="Y34" s="32"/>
      <c r="Z34" s="32"/>
      <c r="AA34" s="32"/>
      <c r="AB34" s="32"/>
    </row>
    <row r="35" customFormat="false" ht="12.8" hidden="false" customHeight="false" outlineLevel="0" collapsed="false">
      <c r="A35" s="26" t="s">
        <v>28</v>
      </c>
      <c r="B35" s="5"/>
      <c r="C35" s="27" t="s">
        <v>29</v>
      </c>
      <c r="D35" s="32" t="s">
        <v>30</v>
      </c>
      <c r="E35" s="32"/>
      <c r="F35" s="32"/>
      <c r="G35" s="32"/>
      <c r="H35" s="32"/>
    </row>
    <row r="36" customFormat="false" ht="12.8" hidden="false" customHeight="false" outlineLevel="0" collapsed="false">
      <c r="A36" s="34" t="s">
        <v>31</v>
      </c>
      <c r="C36" s="34" t="s">
        <v>32</v>
      </c>
    </row>
    <row r="37" customFormat="false" ht="12.8" hidden="false" customHeight="false" outlineLevel="0" collapsed="false">
      <c r="A37" s="34"/>
      <c r="C37" s="34"/>
    </row>
    <row r="38" customFormat="false" ht="12.8" hidden="false" customHeight="false" outlineLevel="0" collapsed="false">
      <c r="A38" s="34"/>
      <c r="C38" s="34"/>
    </row>
    <row r="39" customFormat="false" ht="12.8" hidden="false" customHeight="false" outlineLevel="0" collapsed="false">
      <c r="A39" s="34"/>
      <c r="C39" s="34"/>
    </row>
    <row r="40" customFormat="false" ht="12.8" hidden="false" customHeight="false" outlineLevel="0" collapsed="false">
      <c r="A40" s="34"/>
      <c r="C40" s="34"/>
    </row>
    <row r="41" customFormat="false" ht="12.8" hidden="false" customHeight="false" outlineLevel="0" collapsed="false">
      <c r="A41" s="34"/>
      <c r="C41" s="34"/>
    </row>
    <row r="42" customFormat="false" ht="12.8" hidden="false" customHeight="false" outlineLevel="0" collapsed="false">
      <c r="A42" s="34"/>
      <c r="C42" s="34"/>
    </row>
    <row r="43" customFormat="false" ht="12.8" hidden="false" customHeight="false" outlineLevel="0" collapsed="false">
      <c r="A43" s="34"/>
      <c r="C43" s="34"/>
    </row>
    <row r="44" customFormat="false" ht="12.8" hidden="false" customHeight="false" outlineLevel="0" collapsed="false">
      <c r="A44" s="34"/>
      <c r="C44" s="34"/>
    </row>
  </sheetData>
  <mergeCells count="19">
    <mergeCell ref="B1:D1"/>
    <mergeCell ref="E1:G1"/>
    <mergeCell ref="A13:C13"/>
    <mergeCell ref="F13:H13"/>
    <mergeCell ref="P13:R13"/>
    <mergeCell ref="U13:W13"/>
    <mergeCell ref="Z13:AB13"/>
    <mergeCell ref="F19:H19"/>
    <mergeCell ref="K19:M19"/>
    <mergeCell ref="P19:R19"/>
    <mergeCell ref="D32:H32"/>
    <mergeCell ref="A33:C33"/>
    <mergeCell ref="D33:H33"/>
    <mergeCell ref="D34:H34"/>
    <mergeCell ref="J34:P34"/>
    <mergeCell ref="R34:AB34"/>
    <mergeCell ref="D35:H35"/>
    <mergeCell ref="A36:A44"/>
    <mergeCell ref="C36:C44"/>
  </mergeCells>
  <conditionalFormatting sqref="B34">
    <cfRule type="cellIs" priority="2" operator="equal" aboveAverage="0" equalAverage="0" bottom="0" percent="0" rank="0" text="" dxfId="0">
      <formula>0</formula>
    </cfRule>
  </conditionalFormatting>
  <conditionalFormatting sqref="AA14 V14 Q14 Q20 L20 G20 G14:J14 B14">
    <cfRule type="cellIs" priority="3" operator="equal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&amp;CSeite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63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O16" activeCellId="0" sqref="O16"/>
    </sheetView>
  </sheetViews>
  <sheetFormatPr defaultColWidth="11.66015625" defaultRowHeight="12.8" zeroHeight="false" outlineLevelRow="0" outlineLevelCol="0"/>
  <cols>
    <col collapsed="false" customWidth="true" hidden="false" outlineLevel="0" max="64" min="1" style="0" width="3.83"/>
  </cols>
  <sheetData>
    <row r="1" customFormat="false" ht="12.8" hidden="false" customHeight="false" outlineLevel="0" collapsed="false">
      <c r="A1" s="35" t="s">
        <v>0</v>
      </c>
      <c r="B1" s="36" t="s">
        <v>1</v>
      </c>
      <c r="C1" s="36"/>
      <c r="D1" s="36"/>
      <c r="E1" s="37" t="s">
        <v>2</v>
      </c>
      <c r="F1" s="37"/>
      <c r="G1" s="37"/>
      <c r="H1" s="35" t="s">
        <v>11</v>
      </c>
    </row>
    <row r="2" customFormat="false" ht="12.8" hidden="false" customHeight="false" outlineLevel="0" collapsed="false">
      <c r="A2" s="1" t="s">
        <v>7</v>
      </c>
      <c r="B2" s="6" t="s">
        <v>8</v>
      </c>
      <c r="C2" s="7" t="s">
        <v>8</v>
      </c>
      <c r="D2" s="8"/>
      <c r="E2" s="9" t="s">
        <v>9</v>
      </c>
      <c r="F2" s="9" t="s">
        <v>10</v>
      </c>
      <c r="G2" s="9"/>
      <c r="H2" s="1" t="n">
        <v>6</v>
      </c>
    </row>
    <row r="3" customFormat="false" ht="12.8" hidden="false" customHeight="false" outlineLevel="0" collapsed="false">
      <c r="A3" s="1" t="s">
        <v>9</v>
      </c>
      <c r="B3" s="12" t="s">
        <v>7</v>
      </c>
      <c r="C3" s="9"/>
      <c r="D3" s="13"/>
      <c r="E3" s="9" t="s">
        <v>11</v>
      </c>
      <c r="F3" s="9"/>
      <c r="G3" s="9"/>
      <c r="H3" s="1" t="n">
        <v>7</v>
      </c>
    </row>
    <row r="4" customFormat="false" ht="12.8" hidden="false" customHeight="false" outlineLevel="0" collapsed="false">
      <c r="A4" s="1" t="s">
        <v>10</v>
      </c>
      <c r="B4" s="12" t="s">
        <v>7</v>
      </c>
      <c r="C4" s="9"/>
      <c r="D4" s="13"/>
      <c r="E4" s="9" t="s">
        <v>11</v>
      </c>
      <c r="F4" s="9"/>
      <c r="G4" s="9"/>
      <c r="H4" s="1" t="n">
        <v>4</v>
      </c>
    </row>
    <row r="5" customFormat="false" ht="12.8" hidden="false" customHeight="false" outlineLevel="0" collapsed="false">
      <c r="A5" s="1" t="s">
        <v>11</v>
      </c>
      <c r="B5" s="12" t="s">
        <v>9</v>
      </c>
      <c r="C5" s="9" t="s">
        <v>10</v>
      </c>
      <c r="D5" s="13"/>
      <c r="E5" s="9" t="s">
        <v>12</v>
      </c>
      <c r="F5" s="9"/>
      <c r="G5" s="9"/>
      <c r="H5" s="1" t="n">
        <v>5</v>
      </c>
    </row>
    <row r="6" customFormat="false" ht="12.8" hidden="false" customHeight="false" outlineLevel="0" collapsed="false">
      <c r="A6" s="1" t="s">
        <v>12</v>
      </c>
      <c r="B6" s="12" t="s">
        <v>11</v>
      </c>
      <c r="C6" s="9"/>
      <c r="D6" s="13"/>
      <c r="E6" s="7"/>
      <c r="F6" s="7"/>
      <c r="G6" s="7"/>
      <c r="H6" s="1" t="n">
        <v>9</v>
      </c>
    </row>
    <row r="9" customFormat="false" ht="12.8" hidden="false" customHeight="false" outlineLevel="0" collapsed="false">
      <c r="A9" s="15" t="n">
        <v>0</v>
      </c>
      <c r="B9" s="5"/>
      <c r="C9" s="16"/>
      <c r="F9" s="15"/>
      <c r="G9" s="5"/>
      <c r="H9" s="16"/>
      <c r="K9" s="15"/>
      <c r="L9" s="5"/>
      <c r="M9" s="16"/>
      <c r="P9" s="15"/>
      <c r="Q9" s="5"/>
      <c r="R9" s="16"/>
    </row>
    <row r="10" customFormat="false" ht="12.8" hidden="false" customHeight="false" outlineLevel="0" collapsed="false">
      <c r="A10" s="17" t="s">
        <v>7</v>
      </c>
      <c r="B10" s="17"/>
      <c r="C10" s="17"/>
      <c r="F10" s="17" t="s">
        <v>9</v>
      </c>
      <c r="G10" s="17"/>
      <c r="H10" s="17"/>
      <c r="K10" s="17" t="s">
        <v>11</v>
      </c>
      <c r="L10" s="17"/>
      <c r="M10" s="17"/>
      <c r="P10" s="17" t="s">
        <v>12</v>
      </c>
      <c r="Q10" s="17"/>
      <c r="R10" s="17"/>
    </row>
    <row r="11" customFormat="false" ht="12.8" hidden="false" customHeight="false" outlineLevel="0" collapsed="false">
      <c r="A11" s="23" t="n">
        <f aca="false" t="array" ref="A11:A11">VLOOKUP(A10,$A$2:$H$10,8)</f>
        <v>6</v>
      </c>
      <c r="B11" s="38"/>
      <c r="C11" s="23"/>
      <c r="F11" s="23" t="n">
        <f aca="false" t="array" ref="F11:F11">VLOOKUP(F10,$A$2:$H$10,8)</f>
        <v>7</v>
      </c>
      <c r="G11" s="38"/>
      <c r="H11" s="23"/>
      <c r="K11" s="23" t="n">
        <f aca="false" t="array" ref="K11:K11">VLOOKUP(K10,$A$2:$H$10,8)</f>
        <v>5</v>
      </c>
      <c r="L11" s="38"/>
      <c r="M11" s="23"/>
      <c r="P11" s="23" t="n">
        <f aca="false" t="array" ref="P11:P11">VLOOKUP(P10,$A$2:$H$10,8)</f>
        <v>9</v>
      </c>
      <c r="Q11" s="38"/>
      <c r="R11" s="23"/>
    </row>
    <row r="12" customFormat="false" ht="12.8" hidden="false" customHeight="false" outlineLevel="0" collapsed="false">
      <c r="A12" s="26" t="n">
        <v>0</v>
      </c>
      <c r="B12" s="5"/>
      <c r="C12" s="27"/>
      <c r="F12" s="26"/>
      <c r="G12" s="5"/>
      <c r="H12" s="27"/>
      <c r="K12" s="26"/>
      <c r="L12" s="5"/>
      <c r="M12" s="27"/>
      <c r="P12" s="26"/>
      <c r="Q12" s="5"/>
      <c r="R12" s="27"/>
    </row>
    <row r="15" customFormat="false" ht="12.8" hidden="false" customHeight="false" outlineLevel="0" collapsed="false">
      <c r="F15" s="15"/>
      <c r="G15" s="5"/>
      <c r="H15" s="16"/>
    </row>
    <row r="16" customFormat="false" ht="12.8" hidden="false" customHeight="false" outlineLevel="0" collapsed="false">
      <c r="F16" s="17" t="s">
        <v>10</v>
      </c>
      <c r="G16" s="17"/>
      <c r="H16" s="17"/>
    </row>
    <row r="17" customFormat="false" ht="12.8" hidden="false" customHeight="false" outlineLevel="0" collapsed="false">
      <c r="F17" s="23" t="n">
        <f aca="false" t="array" ref="F17:F17">VLOOKUP(F16,$A$2:$H$10,8)</f>
        <v>4</v>
      </c>
      <c r="G17" s="38"/>
      <c r="H17" s="23"/>
    </row>
    <row r="18" customFormat="false" ht="12.8" hidden="false" customHeight="false" outlineLevel="0" collapsed="false">
      <c r="F18" s="26"/>
      <c r="G18" s="5"/>
      <c r="H18" s="27"/>
    </row>
    <row r="50" customFormat="false" ht="12.8" hidden="false" customHeight="false" outlineLevel="0" collapsed="false">
      <c r="A50" s="39"/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</row>
    <row r="51" customFormat="false" ht="12.8" hidden="false" customHeight="false" outlineLevel="0" collapsed="false">
      <c r="A51" s="39"/>
      <c r="B51" s="41" t="s">
        <v>17</v>
      </c>
      <c r="C51" s="41"/>
      <c r="D51" s="41" t="s">
        <v>18</v>
      </c>
      <c r="E51" s="41"/>
      <c r="F51" s="41"/>
      <c r="G51" s="41"/>
      <c r="H51" s="41"/>
      <c r="I51" s="41"/>
      <c r="J51" s="41"/>
      <c r="K51" s="41"/>
      <c r="L51" s="40"/>
    </row>
    <row r="52" customFormat="false" ht="12.8" hidden="false" customHeight="false" outlineLevel="0" collapsed="false">
      <c r="A52" s="39"/>
      <c r="B52" s="42" t="s">
        <v>0</v>
      </c>
      <c r="C52" s="42"/>
      <c r="D52" s="42"/>
      <c r="E52" s="41"/>
      <c r="F52" s="43" t="s">
        <v>33</v>
      </c>
      <c r="G52" s="43"/>
      <c r="H52" s="43"/>
      <c r="I52" s="43"/>
      <c r="J52" s="43"/>
      <c r="K52" s="41"/>
      <c r="L52" s="40"/>
    </row>
    <row r="53" customFormat="false" ht="12.8" hidden="false" customHeight="false" outlineLevel="0" collapsed="false">
      <c r="A53" s="39"/>
      <c r="B53" s="44" t="s">
        <v>11</v>
      </c>
      <c r="C53" s="45" t="s">
        <v>21</v>
      </c>
      <c r="D53" s="44" t="s">
        <v>22</v>
      </c>
      <c r="E53" s="41"/>
      <c r="F53" s="41"/>
      <c r="G53" s="41"/>
      <c r="H53" s="41"/>
      <c r="I53" s="41"/>
      <c r="J53" s="41"/>
      <c r="K53" s="41"/>
      <c r="L53" s="40"/>
    </row>
    <row r="54" customFormat="false" ht="12.8" hidden="false" customHeight="false" outlineLevel="0" collapsed="false">
      <c r="A54" s="39"/>
      <c r="B54" s="41" t="s">
        <v>28</v>
      </c>
      <c r="C54" s="41"/>
      <c r="D54" s="41" t="s">
        <v>29</v>
      </c>
      <c r="E54" s="41"/>
      <c r="F54" s="41"/>
      <c r="G54" s="41"/>
      <c r="H54" s="41"/>
      <c r="I54" s="41"/>
      <c r="J54" s="41"/>
      <c r="K54" s="41"/>
      <c r="L54" s="40"/>
    </row>
    <row r="55" customFormat="false" ht="12.8" hidden="false" customHeight="false" outlineLevel="0" collapsed="false">
      <c r="A55" s="39"/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0"/>
    </row>
    <row r="56" customFormat="false" ht="12.8" hidden="false" customHeight="false" outlineLevel="0" collapsed="false">
      <c r="A56" s="39"/>
      <c r="B56" s="46" t="s">
        <v>17</v>
      </c>
      <c r="C56" s="47" t="s">
        <v>34</v>
      </c>
      <c r="D56" s="47"/>
      <c r="E56" s="47"/>
      <c r="F56" s="47"/>
      <c r="G56" s="47"/>
      <c r="H56" s="47"/>
      <c r="I56" s="47"/>
      <c r="J56" s="47"/>
      <c r="K56" s="47"/>
      <c r="L56" s="40"/>
    </row>
    <row r="57" customFormat="false" ht="12.8" hidden="false" customHeight="false" outlineLevel="0" collapsed="false">
      <c r="A57" s="39"/>
      <c r="B57" s="46" t="s">
        <v>28</v>
      </c>
      <c r="C57" s="47" t="s">
        <v>35</v>
      </c>
      <c r="D57" s="47"/>
      <c r="E57" s="47"/>
      <c r="F57" s="47"/>
      <c r="G57" s="47"/>
      <c r="H57" s="47"/>
      <c r="I57" s="47"/>
      <c r="J57" s="47"/>
      <c r="K57" s="47"/>
      <c r="L57" s="40"/>
    </row>
    <row r="58" customFormat="false" ht="12.8" hidden="false" customHeight="false" outlineLevel="0" collapsed="false">
      <c r="A58" s="39"/>
      <c r="B58" s="46" t="s">
        <v>18</v>
      </c>
      <c r="C58" s="47" t="s">
        <v>36</v>
      </c>
      <c r="D58" s="47"/>
      <c r="E58" s="47"/>
      <c r="F58" s="47"/>
      <c r="G58" s="47"/>
      <c r="H58" s="47"/>
      <c r="I58" s="47"/>
      <c r="J58" s="47"/>
      <c r="K58" s="47"/>
      <c r="L58" s="40"/>
    </row>
    <row r="59" customFormat="false" ht="12.8" hidden="false" customHeight="false" outlineLevel="0" collapsed="false">
      <c r="A59" s="39"/>
      <c r="B59" s="46" t="s">
        <v>29</v>
      </c>
      <c r="C59" s="47" t="s">
        <v>37</v>
      </c>
      <c r="D59" s="47"/>
      <c r="E59" s="47"/>
      <c r="F59" s="47"/>
      <c r="G59" s="47"/>
      <c r="H59" s="47"/>
      <c r="I59" s="47"/>
      <c r="J59" s="47"/>
      <c r="K59" s="47"/>
      <c r="L59" s="40"/>
    </row>
    <row r="60" customFormat="false" ht="12.8" hidden="false" customHeight="false" outlineLevel="0" collapsed="false">
      <c r="A60" s="39"/>
      <c r="B60" s="44" t="s">
        <v>11</v>
      </c>
      <c r="C60" s="47" t="s">
        <v>6</v>
      </c>
      <c r="D60" s="47"/>
      <c r="E60" s="47"/>
      <c r="F60" s="47"/>
      <c r="G60" s="47"/>
      <c r="H60" s="47"/>
      <c r="I60" s="47"/>
      <c r="J60" s="47"/>
      <c r="K60" s="47"/>
      <c r="L60" s="40"/>
    </row>
    <row r="61" customFormat="false" ht="12.8" hidden="false" customHeight="false" outlineLevel="0" collapsed="false">
      <c r="A61" s="39"/>
      <c r="B61" s="45" t="s">
        <v>21</v>
      </c>
      <c r="C61" s="47" t="s">
        <v>38</v>
      </c>
      <c r="D61" s="47"/>
      <c r="E61" s="47"/>
      <c r="F61" s="47"/>
      <c r="G61" s="47"/>
      <c r="H61" s="47"/>
      <c r="I61" s="47"/>
      <c r="J61" s="47"/>
      <c r="K61" s="47"/>
      <c r="L61" s="40"/>
    </row>
    <row r="62" customFormat="false" ht="12.8" hidden="false" customHeight="false" outlineLevel="0" collapsed="false">
      <c r="A62" s="39"/>
      <c r="B62" s="48" t="s">
        <v>22</v>
      </c>
      <c r="C62" s="40" t="s">
        <v>39</v>
      </c>
      <c r="D62" s="40"/>
      <c r="E62" s="40"/>
      <c r="F62" s="40"/>
      <c r="G62" s="40"/>
      <c r="H62" s="40"/>
      <c r="I62" s="40"/>
      <c r="J62" s="40"/>
      <c r="K62" s="40"/>
      <c r="L62" s="40"/>
    </row>
    <row r="63" customFormat="false" ht="12.8" hidden="false" customHeight="false" outlineLevel="0" collapsed="false">
      <c r="A63" s="39"/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</row>
  </sheetData>
  <mergeCells count="15">
    <mergeCell ref="B1:D1"/>
    <mergeCell ref="E1:G1"/>
    <mergeCell ref="A10:C10"/>
    <mergeCell ref="F10:H10"/>
    <mergeCell ref="K10:M10"/>
    <mergeCell ref="P10:R10"/>
    <mergeCell ref="F16:H16"/>
    <mergeCell ref="B52:D52"/>
    <mergeCell ref="F52:J52"/>
    <mergeCell ref="C56:K56"/>
    <mergeCell ref="C57:K57"/>
    <mergeCell ref="C58:K58"/>
    <mergeCell ref="C59:K59"/>
    <mergeCell ref="C60:K60"/>
    <mergeCell ref="C61:K61"/>
  </mergeCells>
  <conditionalFormatting sqref="C52:C53 B61">
    <cfRule type="cellIs" priority="2" operator="equal" aboveAverage="0" equalAverage="0" bottom="0" percent="0" rank="0" text="" dxfId="1">
      <formula>0</formula>
    </cfRule>
  </conditionalFormatting>
  <conditionalFormatting sqref="B11 G11 L11 Q11 G17">
    <cfRule type="cellIs" priority="3" operator="equal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&amp;CSeite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88</TotalTime>
  <Application>LibreOffice/7.1.7.2$Windows_X86_64 LibreOffice_project/c6a4e3954236145e2acb0b65f68614365aeee33f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2021-11-23T10:37:48Z</dcterms:created>
  <dc:creator>Sebastian Meisel</dc:creator>
  <dc:description/>
  <dc:language>de-DE</dc:language>
  <cp:lastModifiedBy>Sebastian Meisel</cp:lastModifiedBy>
  <dcterms:modified xsi:type="dcterms:W3CDTF">2022-03-08T09:30:37Z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