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SP" sheetId="1" state="visible" r:id="rId2"/>
    <sheet name="Netzplan" sheetId="2" state="visible" r:id="rId3"/>
    <sheet name="Gantt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<sst xmlns="http://schemas.openxmlformats.org/spreadsheetml/2006/main" count="296" uniqueCount="81">
  <si>
    <t xml:space="preserve">Beispiel: Funktionsorientierter Projektstrukturplan</t>
  </si>
  <si>
    <t xml:space="preserve">Online-Shop</t>
  </si>
  <si>
    <t xml:space="preserve">Fr. Claire</t>
  </si>
  <si>
    <t xml:space="preserve">Produkt-Katalogisierung</t>
  </si>
  <si>
    <t xml:space="preserve">Entwicklung</t>
  </si>
  <si>
    <t xml:space="preserve">Dokumentation, Tests,
Kundenbetreuung</t>
  </si>
  <si>
    <t xml:space="preserve">1.1</t>
  </si>
  <si>
    <t xml:space="preserve">Hr. Karl</t>
  </si>
  <si>
    <t xml:space="preserve">1.2</t>
  </si>
  <si>
    <t xml:space="preserve">Fr. Groß</t>
  </si>
  <si>
    <t xml:space="preserve">1.3</t>
  </si>
  <si>
    <t xml:space="preserve">Hr. Nguyen</t>
  </si>
  <si>
    <t xml:space="preserve">Produkte kategorisieren</t>
  </si>
  <si>
    <t xml:space="preserve">Datenbank erstellen</t>
  </si>
  <si>
    <t xml:space="preserve">Handbücher erstellen</t>
  </si>
  <si>
    <t xml:space="preserve">1.1.1</t>
  </si>
  <si>
    <t xml:space="preserve">1.2.1</t>
  </si>
  <si>
    <t xml:space="preserve">1.3.1</t>
  </si>
  <si>
    <t xml:space="preserve">Produkte erfassen</t>
  </si>
  <si>
    <t xml:space="preserve">Template auswählen</t>
  </si>
  <si>
    <t xml:space="preserve">Tests</t>
  </si>
  <si>
    <t xml:space="preserve">1.1.2</t>
  </si>
  <si>
    <t xml:space="preserve">1.2.2</t>
  </si>
  <si>
    <t xml:space="preserve">1.3.2</t>
  </si>
  <si>
    <t xml:space="preserve">Produktfotos erstellen</t>
  </si>
  <si>
    <t xml:space="preserve">Seitenstruktur einrichten</t>
  </si>
  <si>
    <t xml:space="preserve">Auftraggeber-Präsentation</t>
  </si>
  <si>
    <t xml:space="preserve">1.1.3</t>
  </si>
  <si>
    <t xml:space="preserve">1.2.3</t>
  </si>
  <si>
    <t xml:space="preserve">1.3.3</t>
  </si>
  <si>
    <t xml:space="preserve">Produktfotos bearbeiten</t>
  </si>
  <si>
    <t xml:space="preserve">Datenbank einbinden</t>
  </si>
  <si>
    <t xml:space="preserve">1.1.4</t>
  </si>
  <si>
    <t xml:space="preserve">1.2.4</t>
  </si>
  <si>
    <t xml:space="preserve">Zahlungsdienste einbinden</t>
  </si>
  <si>
    <t xml:space="preserve">1.2.5</t>
  </si>
  <si>
    <t xml:space="preserve">Bewertungssystem anpassen</t>
  </si>
  <si>
    <t xml:space="preserve">1.2.6</t>
  </si>
  <si>
    <t xml:space="preserve">PSP-ID</t>
  </si>
  <si>
    <t xml:space="preserve">Arbeitspaket</t>
  </si>
  <si>
    <t xml:space="preserve">Korrekturen</t>
  </si>
  <si>
    <t xml:space="preserve">1.2.7</t>
  </si>
  <si>
    <t xml:space="preserve">eventuelle Korrekturen</t>
  </si>
  <si>
    <t xml:space="preserve">1.2.8</t>
  </si>
  <si>
    <t xml:space="preserve">1.2.9</t>
  </si>
  <si>
    <t xml:space="preserve">Onlinestellung</t>
  </si>
  <si>
    <t xml:space="preserve">Vorgänger</t>
  </si>
  <si>
    <t xml:space="preserve">Nachfolger</t>
  </si>
  <si>
    <t xml:space="preserve">Aufwand</t>
  </si>
  <si>
    <t xml:space="preserve">Personen</t>
  </si>
  <si>
    <t xml:space="preserve">Kapazität</t>
  </si>
  <si>
    <t xml:space="preserve">Dauer</t>
  </si>
  <si>
    <t xml:space="preserve">1.1.1, 1.2.2</t>
  </si>
  <si>
    <t xml:space="preserve">3</t>
  </si>
  <si>
    <t xml:space="preserve">1.1.2, 1.1.3</t>
  </si>
  <si>
    <t xml:space="preserve">2</t>
  </si>
  <si>
    <t xml:space="preserve">1</t>
  </si>
  <si>
    <t xml:space="preserve">1.2.4, 1.3.1</t>
  </si>
  <si>
    <t xml:space="preserve">1.1.2, 1.1.4, 1.2.3</t>
  </si>
  <si>
    <t xml:space="preserve">Onlinehilfe erstellen</t>
  </si>
  <si>
    <t xml:space="preserve">1.3.1, 1.2.8</t>
  </si>
  <si>
    <t xml:space="preserve">Früheste</t>
  </si>
  <si>
    <t xml:space="preserve">Anfangszeit</t>
  </si>
  <si>
    <t xml:space="preserve">Endzeit</t>
  </si>
  <si>
    <t xml:space="preserve">Gesamtpuffer</t>
  </si>
  <si>
    <t xml:space="preserve">Freier Puffer</t>
  </si>
  <si>
    <t xml:space="preserve">Späteste</t>
  </si>
  <si>
    <t xml:space="preserve">FAZ</t>
  </si>
  <si>
    <t xml:space="preserve">FEZ</t>
  </si>
  <si>
    <t xml:space="preserve">ID</t>
  </si>
  <si>
    <t xml:space="preserve">D</t>
  </si>
  <si>
    <t xml:space="preserve">GP</t>
  </si>
  <si>
    <t xml:space="preserve">FP</t>
  </si>
  <si>
    <t xml:space="preserve">SAZ</t>
  </si>
  <si>
    <t xml:space="preserve">SEZ</t>
  </si>
  <si>
    <t xml:space="preserve">=</t>
  </si>
  <si>
    <t xml:space="preserve">FEZ_Vorgänger</t>
  </si>
  <si>
    <t xml:space="preserve">FAZ + D</t>
  </si>
  <si>
    <t xml:space="preserve">Datenbankvorbereitung</t>
  </si>
  <si>
    <t xml:space="preserve">Testphase</t>
  </si>
  <si>
    <t xml:space="preserve">Gantt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</si>
</sst>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@"/>
    <numFmt numFmtId="167" formatCode="0.00\ %"/>
    <numFmt numFmtId="168" formatCode="General"/>
    <numFmt numFmtId="169" formatCode="0\ %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BF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127622"/>
      <name val="Arial"/>
      <family val="2"/>
      <charset val="1"/>
    </font>
    <font>
      <sz val="10"/>
      <color rgb="FF55308D"/>
      <name val="Arial"/>
      <family val="2"/>
      <charset val="1"/>
    </font>
    <font>
      <sz val="10"/>
      <color rgb="FFFF8000"/>
      <name val="Arial"/>
      <family val="2"/>
      <charset val="1"/>
    </font>
    <font>
      <sz val="10"/>
      <color rgb="FFDDDDDD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BF00"/>
        <bgColor rgb="FFFF8000"/>
      </patternFill>
    </fill>
    <fill>
      <patternFill patternType="solid">
        <fgColor rgb="FF666666"/>
        <bgColor rgb="FF808080"/>
      </patternFill>
    </fill>
    <fill>
      <patternFill patternType="solid">
        <fgColor rgb="FFEEEEEE"/>
        <bgColor rgb="FFE8E8E8"/>
      </patternFill>
    </fill>
    <fill>
      <patternFill patternType="solid">
        <fgColor rgb="FFAADCF7"/>
        <bgColor rgb="FFDDDDDD"/>
      </patternFill>
    </fill>
    <fill>
      <patternFill patternType="solid">
        <fgColor rgb="FFE8E8E8"/>
        <bgColor rgb="FFEEEEEE"/>
      </patternFill>
    </fill>
    <fill>
      <patternFill patternType="solid">
        <fgColor rgb="FF00A933"/>
        <bgColor rgb="FF008080"/>
      </patternFill>
    </fill>
    <fill>
      <patternFill patternType="solid">
        <fgColor rgb="FFFF8000"/>
        <bgColor rgb="FFFF6600"/>
      </patternFill>
    </fill>
    <fill>
      <patternFill patternType="solid">
        <fgColor rgb="FFFFFFFF"/>
        <bgColor rgb="FFEEEEE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ck"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bottom" textRotation="70" wrapText="false" indent="0" shrinkToFit="false"/>
      <protection locked="true" hidden="false"/>
    </xf>
    <xf numFmtId="165" fontId="6" fillId="3" borderId="4" xfId="0" applyFont="true" applyBorder="true" applyAlignment="true" applyProtection="false">
      <alignment horizontal="general" vertical="bottom" textRotation="7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antt-Balken" xfId="20"/>
    <cellStyle name="KritischerPfad" xfId="21"/>
    <cellStyle name="Wochenende" xfId="22"/>
  </cellStyles>
  <dxfs count="4">
    <dxf>
      <font>
        <name val="Arial"/>
        <charset val="1"/>
        <family val="2"/>
        <b val="1"/>
        <color rgb="FFFF0000"/>
      </font>
    </dxf>
    <dxf>
      <font>
        <name val="Arial"/>
        <charset val="1"/>
        <family val="2"/>
        <color rgb="FFFFFFFF"/>
      </font>
      <fill>
        <patternFill>
          <bgColor rgb="FF666666"/>
        </patternFill>
      </fill>
    </dxf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Arial"/>
        <charset val="1"/>
        <family val="2"/>
        <color rgb="FFFFBF00"/>
      </font>
      <fill>
        <patternFill>
          <bgColor rgb="FFFFB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E8E8E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66"/>
      <rgbColor rgb="FF969696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908280</xdr:colOff>
      <xdr:row>2</xdr:row>
      <xdr:rowOff>154440</xdr:rowOff>
    </xdr:from>
    <xdr:to>
      <xdr:col>12</xdr:col>
      <xdr:colOff>12600</xdr:colOff>
      <xdr:row>2</xdr:row>
      <xdr:rowOff>154440</xdr:rowOff>
    </xdr:to>
    <xdr:sp>
      <xdr:nvSpPr>
        <xdr:cNvPr id="0" name=""/>
        <xdr:cNvSpPr/>
      </xdr:nvSpPr>
      <xdr:spPr>
        <a:xfrm flipH="1">
          <a:off x="5511960" y="479520"/>
          <a:ext cx="5585400" cy="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906840</xdr:colOff>
      <xdr:row>3</xdr:row>
      <xdr:rowOff>720</xdr:rowOff>
    </xdr:from>
    <xdr:to>
      <xdr:col>5</xdr:col>
      <xdr:colOff>906840</xdr:colOff>
      <xdr:row>4</xdr:row>
      <xdr:rowOff>8640</xdr:rowOff>
    </xdr:to>
    <xdr:sp>
      <xdr:nvSpPr>
        <xdr:cNvPr id="1" name=""/>
        <xdr:cNvSpPr/>
      </xdr:nvSpPr>
      <xdr:spPr>
        <a:xfrm>
          <a:off x="5510880" y="488160"/>
          <a:ext cx="0" cy="1706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906120</xdr:colOff>
      <xdr:row>3</xdr:row>
      <xdr:rowOff>720</xdr:rowOff>
    </xdr:from>
    <xdr:to>
      <xdr:col>5</xdr:col>
      <xdr:colOff>906120</xdr:colOff>
      <xdr:row>4</xdr:row>
      <xdr:rowOff>8640</xdr:rowOff>
    </xdr:to>
    <xdr:sp>
      <xdr:nvSpPr>
        <xdr:cNvPr id="2" name=""/>
        <xdr:cNvSpPr/>
      </xdr:nvSpPr>
      <xdr:spPr>
        <a:xfrm>
          <a:off x="5510160" y="4881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4680</xdr:rowOff>
    </xdr:from>
    <xdr:to>
      <xdr:col>6</xdr:col>
      <xdr:colOff>0</xdr:colOff>
      <xdr:row>7</xdr:row>
      <xdr:rowOff>12960</xdr:rowOff>
    </xdr:to>
    <xdr:sp>
      <xdr:nvSpPr>
        <xdr:cNvPr id="3" name=""/>
        <xdr:cNvSpPr/>
      </xdr:nvSpPr>
      <xdr:spPr>
        <a:xfrm>
          <a:off x="5529960" y="11253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4680</xdr:rowOff>
    </xdr:from>
    <xdr:to>
      <xdr:col>6</xdr:col>
      <xdr:colOff>0</xdr:colOff>
      <xdr:row>10</xdr:row>
      <xdr:rowOff>12600</xdr:rowOff>
    </xdr:to>
    <xdr:sp>
      <xdr:nvSpPr>
        <xdr:cNvPr id="4" name=""/>
        <xdr:cNvSpPr/>
      </xdr:nvSpPr>
      <xdr:spPr>
        <a:xfrm>
          <a:off x="5529960" y="161280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3960</xdr:rowOff>
    </xdr:from>
    <xdr:to>
      <xdr:col>6</xdr:col>
      <xdr:colOff>0</xdr:colOff>
      <xdr:row>13</xdr:row>
      <xdr:rowOff>11880</xdr:rowOff>
    </xdr:to>
    <xdr:sp>
      <xdr:nvSpPr>
        <xdr:cNvPr id="5" name=""/>
        <xdr:cNvSpPr/>
      </xdr:nvSpPr>
      <xdr:spPr>
        <a:xfrm>
          <a:off x="5529960" y="209988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15</xdr:row>
      <xdr:rowOff>3600</xdr:rowOff>
    </xdr:from>
    <xdr:to>
      <xdr:col>6</xdr:col>
      <xdr:colOff>0</xdr:colOff>
      <xdr:row>16</xdr:row>
      <xdr:rowOff>11880</xdr:rowOff>
    </xdr:to>
    <xdr:sp>
      <xdr:nvSpPr>
        <xdr:cNvPr id="6" name=""/>
        <xdr:cNvSpPr/>
      </xdr:nvSpPr>
      <xdr:spPr>
        <a:xfrm>
          <a:off x="5529960" y="25873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2</xdr:row>
      <xdr:rowOff>-360</xdr:rowOff>
    </xdr:from>
    <xdr:to>
      <xdr:col>9</xdr:col>
      <xdr:colOff>0</xdr:colOff>
      <xdr:row>3</xdr:row>
      <xdr:rowOff>7920</xdr:rowOff>
    </xdr:to>
    <xdr:sp>
      <xdr:nvSpPr>
        <xdr:cNvPr id="7" name=""/>
        <xdr:cNvSpPr/>
      </xdr:nvSpPr>
      <xdr:spPr>
        <a:xfrm>
          <a:off x="8307360" y="3247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0</xdr:colOff>
      <xdr:row>4</xdr:row>
      <xdr:rowOff>7920</xdr:rowOff>
    </xdr:to>
    <xdr:sp>
      <xdr:nvSpPr>
        <xdr:cNvPr id="8" name=""/>
        <xdr:cNvSpPr/>
      </xdr:nvSpPr>
      <xdr:spPr>
        <a:xfrm>
          <a:off x="8307360" y="48744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6</xdr:row>
      <xdr:rowOff>4680</xdr:rowOff>
    </xdr:from>
    <xdr:to>
      <xdr:col>9</xdr:col>
      <xdr:colOff>0</xdr:colOff>
      <xdr:row>7</xdr:row>
      <xdr:rowOff>12960</xdr:rowOff>
    </xdr:to>
    <xdr:sp>
      <xdr:nvSpPr>
        <xdr:cNvPr id="9" name=""/>
        <xdr:cNvSpPr/>
      </xdr:nvSpPr>
      <xdr:spPr>
        <a:xfrm>
          <a:off x="8307360" y="11253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9</xdr:row>
      <xdr:rowOff>4680</xdr:rowOff>
    </xdr:from>
    <xdr:to>
      <xdr:col>9</xdr:col>
      <xdr:colOff>0</xdr:colOff>
      <xdr:row>10</xdr:row>
      <xdr:rowOff>12600</xdr:rowOff>
    </xdr:to>
    <xdr:sp>
      <xdr:nvSpPr>
        <xdr:cNvPr id="10" name=""/>
        <xdr:cNvSpPr/>
      </xdr:nvSpPr>
      <xdr:spPr>
        <a:xfrm>
          <a:off x="8307360" y="161280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15</xdr:row>
      <xdr:rowOff>3600</xdr:rowOff>
    </xdr:from>
    <xdr:to>
      <xdr:col>9</xdr:col>
      <xdr:colOff>0</xdr:colOff>
      <xdr:row>16</xdr:row>
      <xdr:rowOff>11880</xdr:rowOff>
    </xdr:to>
    <xdr:sp>
      <xdr:nvSpPr>
        <xdr:cNvPr id="11" name=""/>
        <xdr:cNvSpPr/>
      </xdr:nvSpPr>
      <xdr:spPr>
        <a:xfrm>
          <a:off x="8307360" y="25873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18</xdr:row>
      <xdr:rowOff>3240</xdr:rowOff>
    </xdr:from>
    <xdr:to>
      <xdr:col>9</xdr:col>
      <xdr:colOff>0</xdr:colOff>
      <xdr:row>19</xdr:row>
      <xdr:rowOff>11160</xdr:rowOff>
    </xdr:to>
    <xdr:sp>
      <xdr:nvSpPr>
        <xdr:cNvPr id="12" name=""/>
        <xdr:cNvSpPr/>
      </xdr:nvSpPr>
      <xdr:spPr>
        <a:xfrm>
          <a:off x="8307360" y="307440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24</xdr:row>
      <xdr:rowOff>2160</xdr:rowOff>
    </xdr:from>
    <xdr:to>
      <xdr:col>9</xdr:col>
      <xdr:colOff>0</xdr:colOff>
      <xdr:row>25</xdr:row>
      <xdr:rowOff>10440</xdr:rowOff>
    </xdr:to>
    <xdr:sp>
      <xdr:nvSpPr>
        <xdr:cNvPr id="13" name=""/>
        <xdr:cNvSpPr/>
      </xdr:nvSpPr>
      <xdr:spPr>
        <a:xfrm>
          <a:off x="8307360" y="40489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30</xdr:row>
      <xdr:rowOff>1440</xdr:rowOff>
    </xdr:from>
    <xdr:to>
      <xdr:col>9</xdr:col>
      <xdr:colOff>0</xdr:colOff>
      <xdr:row>31</xdr:row>
      <xdr:rowOff>9360</xdr:rowOff>
    </xdr:to>
    <xdr:sp>
      <xdr:nvSpPr>
        <xdr:cNvPr id="14" name=""/>
        <xdr:cNvSpPr/>
      </xdr:nvSpPr>
      <xdr:spPr>
        <a:xfrm>
          <a:off x="8307360" y="502344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360</xdr:colOff>
      <xdr:row>3</xdr:row>
      <xdr:rowOff>0</xdr:rowOff>
    </xdr:from>
    <xdr:to>
      <xdr:col>12</xdr:col>
      <xdr:colOff>360</xdr:colOff>
      <xdr:row>4</xdr:row>
      <xdr:rowOff>7920</xdr:rowOff>
    </xdr:to>
    <xdr:sp>
      <xdr:nvSpPr>
        <xdr:cNvPr id="15" name=""/>
        <xdr:cNvSpPr/>
      </xdr:nvSpPr>
      <xdr:spPr>
        <a:xfrm>
          <a:off x="11085480" y="48744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360</xdr:colOff>
      <xdr:row>6</xdr:row>
      <xdr:rowOff>4680</xdr:rowOff>
    </xdr:from>
    <xdr:to>
      <xdr:col>12</xdr:col>
      <xdr:colOff>360</xdr:colOff>
      <xdr:row>7</xdr:row>
      <xdr:rowOff>12960</xdr:rowOff>
    </xdr:to>
    <xdr:sp>
      <xdr:nvSpPr>
        <xdr:cNvPr id="16" name=""/>
        <xdr:cNvSpPr/>
      </xdr:nvSpPr>
      <xdr:spPr>
        <a:xfrm>
          <a:off x="11085480" y="11253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360</xdr:colOff>
      <xdr:row>9</xdr:row>
      <xdr:rowOff>4680</xdr:rowOff>
    </xdr:from>
    <xdr:to>
      <xdr:col>12</xdr:col>
      <xdr:colOff>360</xdr:colOff>
      <xdr:row>10</xdr:row>
      <xdr:rowOff>12600</xdr:rowOff>
    </xdr:to>
    <xdr:sp>
      <xdr:nvSpPr>
        <xdr:cNvPr id="17" name=""/>
        <xdr:cNvSpPr/>
      </xdr:nvSpPr>
      <xdr:spPr>
        <a:xfrm>
          <a:off x="11085480" y="161280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360</xdr:colOff>
      <xdr:row>12</xdr:row>
      <xdr:rowOff>3960</xdr:rowOff>
    </xdr:from>
    <xdr:to>
      <xdr:col>12</xdr:col>
      <xdr:colOff>360</xdr:colOff>
      <xdr:row>13</xdr:row>
      <xdr:rowOff>11880</xdr:rowOff>
    </xdr:to>
    <xdr:sp>
      <xdr:nvSpPr>
        <xdr:cNvPr id="18" name=""/>
        <xdr:cNvSpPr/>
      </xdr:nvSpPr>
      <xdr:spPr>
        <a:xfrm>
          <a:off x="11085480" y="209988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911160</xdr:colOff>
      <xdr:row>20</xdr:row>
      <xdr:rowOff>160920</xdr:rowOff>
    </xdr:from>
    <xdr:to>
      <xdr:col>8</xdr:col>
      <xdr:colOff>911160</xdr:colOff>
      <xdr:row>22</xdr:row>
      <xdr:rowOff>6480</xdr:rowOff>
    </xdr:to>
    <xdr:sp>
      <xdr:nvSpPr>
        <xdr:cNvPr id="19" name=""/>
        <xdr:cNvSpPr/>
      </xdr:nvSpPr>
      <xdr:spPr>
        <a:xfrm>
          <a:off x="8292960" y="355752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911160</xdr:colOff>
      <xdr:row>26</xdr:row>
      <xdr:rowOff>161640</xdr:rowOff>
    </xdr:from>
    <xdr:to>
      <xdr:col>8</xdr:col>
      <xdr:colOff>911160</xdr:colOff>
      <xdr:row>28</xdr:row>
      <xdr:rowOff>7200</xdr:rowOff>
    </xdr:to>
    <xdr:sp>
      <xdr:nvSpPr>
        <xdr:cNvPr id="20" name=""/>
        <xdr:cNvSpPr/>
      </xdr:nvSpPr>
      <xdr:spPr>
        <a:xfrm>
          <a:off x="8292960" y="453348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911160</xdr:colOff>
      <xdr:row>11</xdr:row>
      <xdr:rowOff>160200</xdr:rowOff>
    </xdr:from>
    <xdr:to>
      <xdr:col>8</xdr:col>
      <xdr:colOff>911160</xdr:colOff>
      <xdr:row>13</xdr:row>
      <xdr:rowOff>5760</xdr:rowOff>
    </xdr:to>
    <xdr:sp>
      <xdr:nvSpPr>
        <xdr:cNvPr id="21" name=""/>
        <xdr:cNvSpPr/>
      </xdr:nvSpPr>
      <xdr:spPr>
        <a:xfrm>
          <a:off x="8292960" y="2093760"/>
          <a:ext cx="0" cy="170640"/>
        </a:xfrm>
        <a:prstGeom prst="line">
          <a:avLst/>
        </a:prstGeom>
        <a:ln w="18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3.13671875" defaultRowHeight="12.8" zeroHeight="false" outlineLevelRow="0" outlineLevelCol="0"/>
  <cols>
    <col collapsed="false" customWidth="true" hidden="false" outlineLevel="0" max="2" min="2" style="1" width="12.77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4" t="s">
        <v>1</v>
      </c>
      <c r="J1" s="4"/>
      <c r="K1" s="3"/>
      <c r="L1" s="3"/>
      <c r="M1" s="3"/>
    </row>
    <row r="2" customFormat="false" ht="12.8" hidden="false" customHeight="false" outlineLevel="0" collapsed="false">
      <c r="F2" s="3"/>
      <c r="G2" s="3"/>
      <c r="H2" s="3"/>
      <c r="I2" s="5" t="n">
        <v>1</v>
      </c>
      <c r="J2" s="5" t="s">
        <v>2</v>
      </c>
      <c r="K2" s="3"/>
      <c r="L2" s="3"/>
      <c r="M2" s="3"/>
    </row>
    <row r="3" customFormat="false" ht="12.8" hidden="false" customHeight="false" outlineLevel="0" collapsed="false">
      <c r="F3" s="3"/>
      <c r="G3" s="3"/>
      <c r="H3" s="3"/>
      <c r="I3" s="3"/>
      <c r="J3" s="3"/>
      <c r="K3" s="3"/>
      <c r="L3" s="3"/>
      <c r="M3" s="3"/>
    </row>
    <row r="4" customFormat="false" ht="12.8" hidden="false" customHeight="false" outlineLevel="0" collapsed="false">
      <c r="F4" s="3"/>
      <c r="G4" s="3"/>
      <c r="H4" s="3"/>
      <c r="I4" s="3"/>
      <c r="J4" s="3"/>
      <c r="K4" s="3"/>
      <c r="L4" s="3"/>
      <c r="M4" s="3"/>
    </row>
    <row r="5" customFormat="false" ht="24.25" hidden="false" customHeight="true" outlineLevel="0" collapsed="false">
      <c r="F5" s="4" t="s">
        <v>3</v>
      </c>
      <c r="G5" s="4"/>
      <c r="H5" s="3"/>
      <c r="I5" s="4" t="s">
        <v>4</v>
      </c>
      <c r="J5" s="4"/>
      <c r="K5" s="3"/>
      <c r="L5" s="6" t="s">
        <v>5</v>
      </c>
      <c r="M5" s="6"/>
    </row>
    <row r="6" customFormat="false" ht="12.8" hidden="false" customHeight="false" outlineLevel="0" collapsed="false">
      <c r="F6" s="5" t="s">
        <v>6</v>
      </c>
      <c r="G6" s="5" t="s">
        <v>7</v>
      </c>
      <c r="H6" s="3"/>
      <c r="I6" s="5" t="s">
        <v>8</v>
      </c>
      <c r="J6" s="5" t="s">
        <v>9</v>
      </c>
      <c r="K6" s="3"/>
      <c r="L6" s="5" t="s">
        <v>10</v>
      </c>
      <c r="M6" s="5" t="s">
        <v>11</v>
      </c>
    </row>
    <row r="8" customFormat="false" ht="12.8" hidden="false" customHeight="false" outlineLevel="0" collapsed="false">
      <c r="F8" s="4" t="s">
        <v>12</v>
      </c>
      <c r="G8" s="4"/>
      <c r="I8" s="4" t="s">
        <v>13</v>
      </c>
      <c r="J8" s="4"/>
      <c r="L8" s="4" t="s">
        <v>14</v>
      </c>
      <c r="M8" s="4"/>
    </row>
    <row r="9" customFormat="false" ht="12.8" hidden="false" customHeight="false" outlineLevel="0" collapsed="false">
      <c r="F9" s="5" t="s">
        <v>15</v>
      </c>
      <c r="G9" s="5" t="s">
        <v>7</v>
      </c>
      <c r="I9" s="5" t="s">
        <v>16</v>
      </c>
      <c r="J9" s="5" t="s">
        <v>9</v>
      </c>
      <c r="L9" s="7" t="s">
        <v>17</v>
      </c>
      <c r="M9" s="5" t="s">
        <v>11</v>
      </c>
    </row>
    <row r="11" customFormat="false" ht="12.8" hidden="false" customHeight="false" outlineLevel="0" collapsed="false">
      <c r="F11" s="4" t="s">
        <v>18</v>
      </c>
      <c r="G11" s="4"/>
      <c r="I11" s="4" t="s">
        <v>19</v>
      </c>
      <c r="J11" s="4"/>
      <c r="L11" s="4" t="s">
        <v>20</v>
      </c>
      <c r="M11" s="4"/>
    </row>
    <row r="12" customFormat="false" ht="12.8" hidden="false" customHeight="false" outlineLevel="0" collapsed="false">
      <c r="F12" s="5" t="s">
        <v>21</v>
      </c>
      <c r="G12" s="5" t="s">
        <v>7</v>
      </c>
      <c r="I12" s="5" t="s">
        <v>22</v>
      </c>
      <c r="J12" s="5" t="s">
        <v>9</v>
      </c>
      <c r="L12" s="7" t="s">
        <v>23</v>
      </c>
      <c r="M12" s="5" t="s">
        <v>11</v>
      </c>
    </row>
    <row r="14" customFormat="false" ht="12.8" hidden="false" customHeight="false" outlineLevel="0" collapsed="false">
      <c r="F14" s="4" t="s">
        <v>24</v>
      </c>
      <c r="G14" s="4"/>
      <c r="I14" s="4" t="s">
        <v>25</v>
      </c>
      <c r="J14" s="4"/>
      <c r="L14" s="4" t="s">
        <v>26</v>
      </c>
      <c r="M14" s="4"/>
    </row>
    <row r="15" customFormat="false" ht="12.8" hidden="false" customHeight="false" outlineLevel="0" collapsed="false">
      <c r="F15" s="5" t="s">
        <v>27</v>
      </c>
      <c r="G15" s="5" t="s">
        <v>7</v>
      </c>
      <c r="I15" s="5" t="s">
        <v>28</v>
      </c>
      <c r="J15" s="5" t="s">
        <v>9</v>
      </c>
      <c r="L15" s="7" t="s">
        <v>29</v>
      </c>
      <c r="M15" s="5" t="s">
        <v>11</v>
      </c>
    </row>
    <row r="17" customFormat="false" ht="12.8" hidden="false" customHeight="false" outlineLevel="0" collapsed="false">
      <c r="F17" s="4" t="s">
        <v>30</v>
      </c>
      <c r="G17" s="4"/>
      <c r="I17" s="4" t="s">
        <v>31</v>
      </c>
      <c r="J17" s="4"/>
    </row>
    <row r="18" customFormat="false" ht="12.8" hidden="false" customHeight="false" outlineLevel="0" collapsed="false">
      <c r="F18" s="5" t="s">
        <v>32</v>
      </c>
      <c r="G18" s="5" t="s">
        <v>7</v>
      </c>
      <c r="I18" s="5" t="s">
        <v>33</v>
      </c>
      <c r="J18" s="5" t="s">
        <v>9</v>
      </c>
    </row>
    <row r="20" customFormat="false" ht="12.8" hidden="false" customHeight="false" outlineLevel="0" collapsed="false">
      <c r="I20" s="4" t="s">
        <v>34</v>
      </c>
      <c r="J20" s="4"/>
    </row>
    <row r="21" customFormat="false" ht="12.8" hidden="false" customHeight="false" outlineLevel="0" collapsed="false">
      <c r="I21" s="5" t="s">
        <v>35</v>
      </c>
      <c r="J21" s="5" t="s">
        <v>9</v>
      </c>
    </row>
    <row r="23" customFormat="false" ht="12.8" hidden="false" customHeight="false" outlineLevel="0" collapsed="false">
      <c r="I23" s="4" t="s">
        <v>36</v>
      </c>
      <c r="J23" s="4"/>
    </row>
    <row r="24" customFormat="false" ht="12.8" hidden="false" customHeight="false" outlineLevel="0" collapsed="false">
      <c r="I24" s="5" t="s">
        <v>37</v>
      </c>
      <c r="J24" s="5" t="s">
        <v>9</v>
      </c>
    </row>
    <row r="25" customFormat="false" ht="12.8" hidden="false" customHeight="false" outlineLevel="0" collapsed="false">
      <c r="A25" s="8" t="s">
        <v>38</v>
      </c>
      <c r="B25" s="9" t="s">
        <v>39</v>
      </c>
      <c r="C25" s="9"/>
      <c r="D25" s="9"/>
      <c r="E25" s="10"/>
      <c r="F25" s="10"/>
    </row>
    <row r="26" customFormat="false" ht="12.8" hidden="false" customHeight="false" outlineLevel="0" collapsed="false">
      <c r="A26" s="11" t="s">
        <v>16</v>
      </c>
      <c r="B26" s="12" t="s">
        <v>13</v>
      </c>
      <c r="C26" s="12"/>
      <c r="D26" s="12"/>
      <c r="E26" s="13"/>
      <c r="F26" s="13"/>
      <c r="I26" s="4" t="s">
        <v>40</v>
      </c>
      <c r="J26" s="4"/>
    </row>
    <row r="27" customFormat="false" ht="12.8" hidden="false" customHeight="false" outlineLevel="0" collapsed="false">
      <c r="A27" s="14" t="s">
        <v>15</v>
      </c>
      <c r="B27" s="15" t="s">
        <v>12</v>
      </c>
      <c r="C27" s="15"/>
      <c r="D27" s="15"/>
      <c r="E27" s="16"/>
      <c r="F27" s="16"/>
      <c r="I27" s="5" t="s">
        <v>41</v>
      </c>
      <c r="J27" s="5" t="s">
        <v>9</v>
      </c>
    </row>
    <row r="28" customFormat="false" ht="12.8" hidden="false" customHeight="false" outlineLevel="0" collapsed="false">
      <c r="A28" s="14" t="s">
        <v>21</v>
      </c>
      <c r="B28" s="15" t="s">
        <v>18</v>
      </c>
      <c r="C28" s="15"/>
      <c r="D28" s="15"/>
      <c r="E28" s="16"/>
      <c r="F28" s="16"/>
    </row>
    <row r="29" customFormat="false" ht="12.8" hidden="false" customHeight="false" outlineLevel="0" collapsed="false">
      <c r="A29" s="14" t="s">
        <v>27</v>
      </c>
      <c r="B29" s="15" t="s">
        <v>24</v>
      </c>
      <c r="C29" s="15"/>
      <c r="D29" s="15"/>
      <c r="E29" s="16"/>
      <c r="F29" s="16"/>
      <c r="I29" s="4" t="s">
        <v>42</v>
      </c>
      <c r="J29" s="4"/>
    </row>
    <row r="30" customFormat="false" ht="12.8" hidden="false" customHeight="false" outlineLevel="0" collapsed="false">
      <c r="A30" s="14" t="s">
        <v>32</v>
      </c>
      <c r="B30" s="15" t="s">
        <v>30</v>
      </c>
      <c r="C30" s="15"/>
      <c r="D30" s="15"/>
      <c r="E30" s="15"/>
      <c r="F30" s="15"/>
      <c r="I30" s="5" t="s">
        <v>43</v>
      </c>
      <c r="J30" s="5" t="s">
        <v>9</v>
      </c>
    </row>
    <row r="31" customFormat="false" ht="12.8" hidden="false" customHeight="false" outlineLevel="0" collapsed="false">
      <c r="A31" s="14" t="s">
        <v>22</v>
      </c>
      <c r="B31" s="15" t="s">
        <v>19</v>
      </c>
      <c r="C31" s="15"/>
      <c r="D31" s="15"/>
      <c r="E31" s="16"/>
      <c r="F31" s="16"/>
    </row>
    <row r="32" customFormat="false" ht="12.8" hidden="false" customHeight="false" outlineLevel="0" collapsed="false">
      <c r="A32" s="14" t="s">
        <v>28</v>
      </c>
      <c r="B32" s="15" t="s">
        <v>25</v>
      </c>
      <c r="C32" s="15"/>
      <c r="D32" s="15"/>
      <c r="E32" s="15"/>
      <c r="F32" s="15"/>
      <c r="I32" s="4" t="s">
        <v>42</v>
      </c>
      <c r="J32" s="4"/>
    </row>
    <row r="33" customFormat="false" ht="12.8" hidden="false" customHeight="false" outlineLevel="0" collapsed="false">
      <c r="A33" s="14" t="s">
        <v>33</v>
      </c>
      <c r="B33" s="15" t="s">
        <v>31</v>
      </c>
      <c r="C33" s="15"/>
      <c r="D33" s="15"/>
      <c r="E33" s="15"/>
      <c r="F33" s="15"/>
      <c r="I33" s="5" t="s">
        <v>44</v>
      </c>
      <c r="J33" s="5" t="s">
        <v>9</v>
      </c>
    </row>
    <row r="34" customFormat="false" ht="12.8" hidden="false" customHeight="false" outlineLevel="0" collapsed="false">
      <c r="A34" s="14" t="s">
        <v>33</v>
      </c>
      <c r="B34" s="15" t="s">
        <v>34</v>
      </c>
      <c r="C34" s="15"/>
      <c r="D34" s="15"/>
      <c r="E34" s="15"/>
      <c r="F34" s="15"/>
    </row>
    <row r="35" customFormat="false" ht="12.8" hidden="false" customHeight="false" outlineLevel="0" collapsed="false">
      <c r="A35" s="14" t="s">
        <v>37</v>
      </c>
      <c r="B35" s="15" t="s">
        <v>36</v>
      </c>
      <c r="C35" s="15"/>
      <c r="D35" s="15"/>
      <c r="E35" s="15"/>
      <c r="F35" s="15"/>
    </row>
    <row r="36" customFormat="false" ht="12.8" hidden="false" customHeight="false" outlineLevel="0" collapsed="false">
      <c r="A36" s="14" t="s">
        <v>17</v>
      </c>
      <c r="B36" s="15" t="s">
        <v>14</v>
      </c>
      <c r="C36" s="15"/>
      <c r="D36" s="15"/>
      <c r="E36" s="15"/>
      <c r="F36" s="15"/>
    </row>
    <row r="37" customFormat="false" ht="12.8" hidden="false" customHeight="false" outlineLevel="0" collapsed="false">
      <c r="A37" s="14" t="s">
        <v>23</v>
      </c>
      <c r="B37" s="15" t="s">
        <v>20</v>
      </c>
      <c r="C37" s="15"/>
      <c r="D37" s="15"/>
      <c r="E37" s="15"/>
      <c r="F37" s="15"/>
    </row>
    <row r="38" customFormat="false" ht="12.8" hidden="false" customHeight="false" outlineLevel="0" collapsed="false">
      <c r="A38" s="14" t="s">
        <v>41</v>
      </c>
      <c r="B38" s="15" t="s">
        <v>40</v>
      </c>
      <c r="C38" s="15"/>
      <c r="D38" s="15"/>
      <c r="E38" s="15"/>
      <c r="F38" s="15"/>
    </row>
    <row r="39" customFormat="false" ht="12.8" hidden="false" customHeight="false" outlineLevel="0" collapsed="false">
      <c r="A39" s="14" t="s">
        <v>29</v>
      </c>
      <c r="B39" s="15" t="s">
        <v>26</v>
      </c>
      <c r="C39" s="15"/>
      <c r="D39" s="15"/>
      <c r="E39" s="15"/>
      <c r="F39" s="15"/>
    </row>
    <row r="40" customFormat="false" ht="12.8" hidden="false" customHeight="false" outlineLevel="0" collapsed="false">
      <c r="A40" s="14" t="s">
        <v>43</v>
      </c>
      <c r="B40" s="15" t="s">
        <v>42</v>
      </c>
      <c r="C40" s="15"/>
      <c r="D40" s="15"/>
      <c r="E40" s="15"/>
      <c r="F40" s="15"/>
    </row>
    <row r="41" customFormat="false" ht="12.8" hidden="false" customHeight="false" outlineLevel="0" collapsed="false">
      <c r="A41" s="17" t="s">
        <v>44</v>
      </c>
      <c r="B41" s="18" t="s">
        <v>45</v>
      </c>
      <c r="C41" s="18"/>
      <c r="D41" s="18"/>
      <c r="E41" s="19"/>
      <c r="F41" s="19"/>
    </row>
  </sheetData>
  <mergeCells count="38">
    <mergeCell ref="A1:E1"/>
    <mergeCell ref="I1:J1"/>
    <mergeCell ref="F5:G5"/>
    <mergeCell ref="I5:J5"/>
    <mergeCell ref="L5:M5"/>
    <mergeCell ref="F8:G8"/>
    <mergeCell ref="I8:J8"/>
    <mergeCell ref="L8:M8"/>
    <mergeCell ref="F11:G11"/>
    <mergeCell ref="I11:J11"/>
    <mergeCell ref="L11:M11"/>
    <mergeCell ref="F14:G14"/>
    <mergeCell ref="I14:J14"/>
    <mergeCell ref="L14:M14"/>
    <mergeCell ref="F17:G17"/>
    <mergeCell ref="I17:J17"/>
    <mergeCell ref="I20:J20"/>
    <mergeCell ref="I23:J23"/>
    <mergeCell ref="B25:D25"/>
    <mergeCell ref="B26:D26"/>
    <mergeCell ref="I26:J26"/>
    <mergeCell ref="B27:D27"/>
    <mergeCell ref="B28:D28"/>
    <mergeCell ref="B29:D29"/>
    <mergeCell ref="I29:J29"/>
    <mergeCell ref="B30:D30"/>
    <mergeCell ref="B31:D31"/>
    <mergeCell ref="B32:D32"/>
    <mergeCell ref="I32:J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W3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0" ySplit="0" topLeftCell="K1" activePane="topRight" state="frozen"/>
      <selection pane="topLeft" activeCell="A1" activeCellId="0" sqref="A1"/>
      <selection pane="topRight" activeCell="AL3" activeCellId="0" sqref="AL3"/>
    </sheetView>
  </sheetViews>
  <sheetFormatPr defaultColWidth="11.89453125" defaultRowHeight="12.8" zeroHeight="false" outlineLevelRow="0" outlineLevelCol="1"/>
  <cols>
    <col collapsed="false" customWidth="true" hidden="true" outlineLevel="1" max="2" min="2" style="20" width="11.71"/>
    <col collapsed="false" customWidth="true" hidden="true" outlineLevel="1" max="3" min="3" style="0" width="13.52"/>
    <col collapsed="false" customWidth="true" hidden="true" outlineLevel="1" max="4" min="4" style="0" width="11.81"/>
    <col collapsed="false" customWidth="true" hidden="true" outlineLevel="1" max="5" min="5" style="3" width="16.12"/>
    <col collapsed="false" customWidth="true" hidden="true" outlineLevel="1" max="6" min="6" style="3" width="11.52"/>
    <col collapsed="false" customWidth="true" hidden="false" outlineLevel="0" max="8" min="7" style="3" width="11.52"/>
    <col collapsed="false" customWidth="true" hidden="false" outlineLevel="0" max="9" min="9" style="21" width="11.52"/>
    <col collapsed="false" customWidth="true" hidden="false" outlineLevel="0" max="10" min="10" style="3" width="11.52"/>
    <col collapsed="false" customWidth="true" hidden="false" outlineLevel="0" max="107" min="11" style="0" width="3.83"/>
  </cols>
  <sheetData>
    <row r="1" customFormat="false" ht="12.8" hidden="false" customHeight="false" outlineLevel="0" collapsed="false">
      <c r="A1" s="8" t="s">
        <v>38</v>
      </c>
      <c r="B1" s="22" t="s">
        <v>39</v>
      </c>
      <c r="C1" s="22"/>
      <c r="D1" s="22"/>
      <c r="E1" s="23" t="s">
        <v>46</v>
      </c>
      <c r="F1" s="23" t="s">
        <v>47</v>
      </c>
      <c r="G1" s="23" t="s">
        <v>48</v>
      </c>
      <c r="H1" s="23" t="s">
        <v>49</v>
      </c>
      <c r="I1" s="24" t="s">
        <v>50</v>
      </c>
      <c r="J1" s="23" t="s">
        <v>51</v>
      </c>
    </row>
    <row r="2" customFormat="false" ht="12.8" hidden="false" customHeight="false" outlineLevel="0" collapsed="false">
      <c r="A2" s="11" t="s">
        <v>16</v>
      </c>
      <c r="B2" s="25" t="s">
        <v>13</v>
      </c>
      <c r="C2" s="25"/>
      <c r="D2" s="25"/>
      <c r="E2" s="26"/>
      <c r="F2" s="27" t="s">
        <v>52</v>
      </c>
      <c r="G2" s="28" t="n">
        <v>5</v>
      </c>
      <c r="H2" s="27" t="s">
        <v>53</v>
      </c>
      <c r="I2" s="29" t="n">
        <v>1</v>
      </c>
      <c r="J2" s="28" t="n">
        <f aca="false">ROUNDUP(G2/(H2*I2),0)</f>
        <v>2</v>
      </c>
      <c r="L2" s="30" t="n">
        <v>0</v>
      </c>
      <c r="M2" s="31"/>
      <c r="N2" s="30" t="n">
        <f aca="false">L2+L4</f>
        <v>2</v>
      </c>
      <c r="Q2" s="30" t="n">
        <f aca="false">N2</f>
        <v>2</v>
      </c>
      <c r="R2" s="31"/>
      <c r="S2" s="30" t="n">
        <f aca="false">Q2+Q4</f>
        <v>3</v>
      </c>
      <c r="V2" s="30" t="n">
        <f aca="false">S2</f>
        <v>3</v>
      </c>
      <c r="W2" s="31"/>
      <c r="X2" s="30" t="n">
        <f aca="false">V2+V4</f>
        <v>9</v>
      </c>
      <c r="AL2" s="30" t="n">
        <f aca="false">MAX(X2,AC8,X14)</f>
        <v>9</v>
      </c>
      <c r="AM2" s="31"/>
      <c r="AN2" s="30" t="n">
        <f aca="false">AL2+AL4</f>
        <v>11</v>
      </c>
      <c r="AQ2" s="30" t="n">
        <f aca="false">AN2</f>
        <v>11</v>
      </c>
      <c r="AR2" s="31"/>
      <c r="AS2" s="30" t="n">
        <f aca="false">AQ2+AQ4</f>
        <v>13</v>
      </c>
      <c r="AV2" s="30" t="n">
        <f aca="false">AS2</f>
        <v>13</v>
      </c>
      <c r="AW2" s="31"/>
      <c r="AX2" s="30" t="n">
        <f aca="false">AV2+AV4</f>
        <v>15</v>
      </c>
      <c r="BA2" s="30" t="n">
        <f aca="false">AX2</f>
        <v>15</v>
      </c>
      <c r="BB2" s="31"/>
      <c r="BC2" s="30" t="n">
        <f aca="false">BA2+BA4</f>
        <v>17</v>
      </c>
      <c r="BF2" s="30" t="n">
        <f aca="false">BC2</f>
        <v>17</v>
      </c>
      <c r="BG2" s="31"/>
      <c r="BH2" s="30" t="n">
        <f aca="false">BF2+BF4</f>
        <v>19</v>
      </c>
      <c r="BK2" s="30" t="n">
        <f aca="false">BH2</f>
        <v>19</v>
      </c>
      <c r="BL2" s="31"/>
      <c r="BM2" s="30" t="n">
        <f aca="false">BK2+BK4</f>
        <v>20</v>
      </c>
      <c r="BP2" s="30" t="n">
        <f aca="false">BM2</f>
        <v>20</v>
      </c>
      <c r="BQ2" s="31"/>
      <c r="BR2" s="30" t="n">
        <f aca="false">BP2+BP4</f>
        <v>24</v>
      </c>
      <c r="BU2" s="30" t="n">
        <f aca="false">MAX(BR2,AN14)</f>
        <v>29</v>
      </c>
      <c r="BV2" s="31"/>
      <c r="BW2" s="30" t="n">
        <f aca="false">BU2+BU4</f>
        <v>30</v>
      </c>
    </row>
    <row r="3" customFormat="false" ht="12.8" hidden="false" customHeight="false" outlineLevel="0" collapsed="false">
      <c r="A3" s="14" t="s">
        <v>15</v>
      </c>
      <c r="B3" s="32" t="s">
        <v>12</v>
      </c>
      <c r="C3" s="32"/>
      <c r="D3" s="32"/>
      <c r="E3" s="33" t="s">
        <v>16</v>
      </c>
      <c r="F3" s="33" t="s">
        <v>54</v>
      </c>
      <c r="G3" s="34" t="n">
        <v>1</v>
      </c>
      <c r="H3" s="27" t="s">
        <v>55</v>
      </c>
      <c r="I3" s="29" t="n">
        <v>1</v>
      </c>
      <c r="J3" s="28" t="n">
        <f aca="false">ROUNDUP(G3/(H3*I3),0)</f>
        <v>1</v>
      </c>
      <c r="L3" s="35" t="s">
        <v>16</v>
      </c>
      <c r="M3" s="35"/>
      <c r="N3" s="35"/>
      <c r="Q3" s="35" t="s">
        <v>15</v>
      </c>
      <c r="R3" s="35"/>
      <c r="S3" s="35"/>
      <c r="V3" s="35" t="s">
        <v>21</v>
      </c>
      <c r="W3" s="35"/>
      <c r="X3" s="35"/>
      <c r="AL3" s="35" t="s">
        <v>33</v>
      </c>
      <c r="AM3" s="35"/>
      <c r="AN3" s="35"/>
      <c r="AQ3" s="35" t="s">
        <v>35</v>
      </c>
      <c r="AR3" s="35"/>
      <c r="AS3" s="35"/>
      <c r="AV3" s="35" t="s">
        <v>37</v>
      </c>
      <c r="AW3" s="35"/>
      <c r="AX3" s="35"/>
      <c r="BA3" s="35" t="s">
        <v>23</v>
      </c>
      <c r="BB3" s="35"/>
      <c r="BC3" s="35"/>
      <c r="BF3" s="35" t="s">
        <v>41</v>
      </c>
      <c r="BG3" s="35"/>
      <c r="BH3" s="35"/>
      <c r="BK3" s="35" t="s">
        <v>29</v>
      </c>
      <c r="BL3" s="35"/>
      <c r="BM3" s="35"/>
      <c r="BP3" s="35" t="s">
        <v>43</v>
      </c>
      <c r="BQ3" s="35"/>
      <c r="BR3" s="35"/>
      <c r="BU3" s="35" t="s">
        <v>44</v>
      </c>
      <c r="BV3" s="35"/>
      <c r="BW3" s="35"/>
    </row>
    <row r="4" customFormat="false" ht="12.8" hidden="false" customHeight="false" outlineLevel="0" collapsed="false">
      <c r="A4" s="14" t="s">
        <v>21</v>
      </c>
      <c r="B4" s="32" t="s">
        <v>18</v>
      </c>
      <c r="C4" s="32"/>
      <c r="D4" s="32"/>
      <c r="E4" s="33" t="s">
        <v>15</v>
      </c>
      <c r="F4" s="33" t="s">
        <v>33</v>
      </c>
      <c r="G4" s="34" t="n">
        <v>4</v>
      </c>
      <c r="H4" s="27" t="s">
        <v>56</v>
      </c>
      <c r="I4" s="29" t="n">
        <v>0.75</v>
      </c>
      <c r="J4" s="28" t="n">
        <f aca="false">ROUNDUP(G4/(H4*I4),0)</f>
        <v>6</v>
      </c>
      <c r="L4" s="36" t="n">
        <f aca="false">J2</f>
        <v>2</v>
      </c>
      <c r="M4" s="37" t="n">
        <f aca="false">N5-N2</f>
        <v>0</v>
      </c>
      <c r="N4" s="36" t="n">
        <f aca="false">MIN(Q2,Q14)-N2</f>
        <v>0</v>
      </c>
      <c r="O4" s="38"/>
      <c r="P4" s="39"/>
      <c r="Q4" s="36" t="n">
        <f aca="false">J3</f>
        <v>1</v>
      </c>
      <c r="R4" s="37" t="n">
        <f aca="false">S5-S2</f>
        <v>5</v>
      </c>
      <c r="S4" s="36" t="n">
        <f aca="false">MIN(V2,V8)-S2</f>
        <v>0</v>
      </c>
      <c r="T4" s="38"/>
      <c r="U4" s="39"/>
      <c r="V4" s="36" t="n">
        <f aca="false">J4</f>
        <v>6</v>
      </c>
      <c r="W4" s="37" t="n">
        <f aca="false">X5-X2</f>
        <v>5</v>
      </c>
      <c r="X4" s="36" t="n">
        <f aca="false">AL2-X2</f>
        <v>0</v>
      </c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9"/>
      <c r="AL4" s="36" t="n">
        <f aca="false">J9</f>
        <v>2</v>
      </c>
      <c r="AM4" s="37" t="n">
        <f aca="false">AN5-AN2</f>
        <v>5</v>
      </c>
      <c r="AN4" s="36" t="n">
        <f aca="false">AQ2-AN2</f>
        <v>0</v>
      </c>
      <c r="AO4" s="38"/>
      <c r="AP4" s="38"/>
      <c r="AQ4" s="36" t="n">
        <f aca="false">J10</f>
        <v>2</v>
      </c>
      <c r="AR4" s="37" t="n">
        <f aca="false">AS5-AS2</f>
        <v>5</v>
      </c>
      <c r="AS4" s="36" t="n">
        <f aca="false">AV2-AS2</f>
        <v>0</v>
      </c>
      <c r="AT4" s="38"/>
      <c r="AU4" s="38"/>
      <c r="AV4" s="36" t="n">
        <f aca="false">J11</f>
        <v>2</v>
      </c>
      <c r="AW4" s="37" t="n">
        <f aca="false">AX5-AX2</f>
        <v>5</v>
      </c>
      <c r="AX4" s="36" t="n">
        <f aca="false">BA2-AX2</f>
        <v>0</v>
      </c>
      <c r="AY4" s="38"/>
      <c r="AZ4" s="38"/>
      <c r="BA4" s="36" t="n">
        <f aca="false">J13</f>
        <v>2</v>
      </c>
      <c r="BB4" s="37" t="n">
        <f aca="false">BC5-BC2</f>
        <v>5</v>
      </c>
      <c r="BC4" s="36" t="n">
        <f aca="false">BF2-BC2</f>
        <v>0</v>
      </c>
      <c r="BD4" s="38"/>
      <c r="BE4" s="38"/>
      <c r="BF4" s="36" t="n">
        <f aca="false">J14</f>
        <v>2</v>
      </c>
      <c r="BG4" s="37" t="n">
        <f aca="false">BH5-BH2</f>
        <v>5</v>
      </c>
      <c r="BH4" s="36" t="n">
        <f aca="false">BK2-BH2</f>
        <v>0</v>
      </c>
      <c r="BI4" s="38"/>
      <c r="BJ4" s="38"/>
      <c r="BK4" s="36" t="n">
        <f aca="false">J15</f>
        <v>1</v>
      </c>
      <c r="BL4" s="37" t="n">
        <f aca="false">BM5-BM2</f>
        <v>5</v>
      </c>
      <c r="BM4" s="36" t="n">
        <f aca="false">BP2-BM2</f>
        <v>0</v>
      </c>
      <c r="BN4" s="38"/>
      <c r="BO4" s="38"/>
      <c r="BP4" s="36" t="n">
        <f aca="false">J16</f>
        <v>4</v>
      </c>
      <c r="BQ4" s="37" t="n">
        <f aca="false">BR5-BR2</f>
        <v>5</v>
      </c>
      <c r="BR4" s="36" t="n">
        <f aca="false">BU2-BR2</f>
        <v>5</v>
      </c>
      <c r="BS4" s="38"/>
      <c r="BT4" s="39"/>
      <c r="BU4" s="36" t="n">
        <f aca="false">J17</f>
        <v>1</v>
      </c>
      <c r="BV4" s="37" t="n">
        <f aca="false">BW5-BW2</f>
        <v>0</v>
      </c>
      <c r="BW4" s="36"/>
    </row>
    <row r="5" customFormat="false" ht="12.8" hidden="false" customHeight="false" outlineLevel="0" collapsed="false">
      <c r="A5" s="14" t="s">
        <v>27</v>
      </c>
      <c r="B5" s="32" t="s">
        <v>24</v>
      </c>
      <c r="C5" s="32"/>
      <c r="D5" s="32"/>
      <c r="E5" s="33" t="s">
        <v>15</v>
      </c>
      <c r="F5" s="33" t="s">
        <v>32</v>
      </c>
      <c r="G5" s="34" t="n">
        <v>3</v>
      </c>
      <c r="H5" s="27" t="s">
        <v>53</v>
      </c>
      <c r="I5" s="29" t="n">
        <f aca="false">(100%+50%+25%)/3</f>
        <v>0.583333333333333</v>
      </c>
      <c r="J5" s="28" t="n">
        <f aca="false">ROUNDUP(G5/(H5*I5),0)</f>
        <v>2</v>
      </c>
      <c r="L5" s="30" t="n">
        <v>0</v>
      </c>
      <c r="M5" s="31"/>
      <c r="N5" s="30" t="n">
        <f aca="false">MIN(Q5,Q17)</f>
        <v>2</v>
      </c>
      <c r="P5" s="40"/>
      <c r="Q5" s="30" t="n">
        <f aca="false">S5-Q4</f>
        <v>7</v>
      </c>
      <c r="R5" s="31"/>
      <c r="S5" s="30" t="n">
        <f aca="false">MIN(V5,V11)</f>
        <v>8</v>
      </c>
      <c r="U5" s="40"/>
      <c r="V5" s="30" t="n">
        <f aca="false">X5-V4</f>
        <v>8</v>
      </c>
      <c r="W5" s="31"/>
      <c r="X5" s="30" t="n">
        <f aca="false">AL5</f>
        <v>14</v>
      </c>
      <c r="AK5" s="40"/>
      <c r="AL5" s="30" t="n">
        <f aca="false">AN5-AL4</f>
        <v>14</v>
      </c>
      <c r="AM5" s="31"/>
      <c r="AN5" s="30" t="n">
        <f aca="false">AQ5</f>
        <v>16</v>
      </c>
      <c r="AQ5" s="30" t="n">
        <f aca="false">AS5-AQ4</f>
        <v>16</v>
      </c>
      <c r="AR5" s="31"/>
      <c r="AS5" s="30" t="n">
        <f aca="false">AV5</f>
        <v>18</v>
      </c>
      <c r="AV5" s="30" t="n">
        <f aca="false">AX5-AV4</f>
        <v>18</v>
      </c>
      <c r="AW5" s="31"/>
      <c r="AX5" s="30" t="n">
        <f aca="false">BA5</f>
        <v>20</v>
      </c>
      <c r="BA5" s="30" t="n">
        <f aca="false">BC5-BA4</f>
        <v>20</v>
      </c>
      <c r="BB5" s="31"/>
      <c r="BC5" s="30" t="n">
        <f aca="false">BF5</f>
        <v>22</v>
      </c>
      <c r="BF5" s="30" t="n">
        <f aca="false">BH5-BF4</f>
        <v>22</v>
      </c>
      <c r="BG5" s="31"/>
      <c r="BH5" s="30" t="n">
        <f aca="false">BK5</f>
        <v>24</v>
      </c>
      <c r="BK5" s="30" t="n">
        <f aca="false">BM5-BK4</f>
        <v>24</v>
      </c>
      <c r="BL5" s="31"/>
      <c r="BM5" s="30" t="n">
        <f aca="false">BP5</f>
        <v>25</v>
      </c>
      <c r="BP5" s="30" t="n">
        <f aca="false">BR5-BP4</f>
        <v>25</v>
      </c>
      <c r="BQ5" s="31"/>
      <c r="BR5" s="30" t="n">
        <f aca="false">BU5</f>
        <v>29</v>
      </c>
      <c r="BT5" s="40"/>
      <c r="BU5" s="30" t="n">
        <f aca="false">BW5-BU4</f>
        <v>29</v>
      </c>
      <c r="BV5" s="31"/>
      <c r="BW5" s="30" t="n">
        <f aca="false">BW2</f>
        <v>30</v>
      </c>
    </row>
    <row r="6" customFormat="false" ht="12.8" hidden="false" customHeight="false" outlineLevel="0" collapsed="false">
      <c r="A6" s="14" t="s">
        <v>32</v>
      </c>
      <c r="B6" s="32" t="s">
        <v>30</v>
      </c>
      <c r="C6" s="32"/>
      <c r="D6" s="32"/>
      <c r="E6" s="41" t="s">
        <v>27</v>
      </c>
      <c r="F6" s="41" t="s">
        <v>33</v>
      </c>
      <c r="G6" s="42" t="n">
        <v>7</v>
      </c>
      <c r="H6" s="27" t="s">
        <v>53</v>
      </c>
      <c r="I6" s="29" t="n">
        <f aca="false">(100%+50%+25%)/3</f>
        <v>0.583333333333333</v>
      </c>
      <c r="J6" s="28" t="n">
        <f aca="false">ROUNDUP(G6/(H6*I6),0)</f>
        <v>4</v>
      </c>
      <c r="P6" s="40"/>
      <c r="U6" s="40"/>
      <c r="AK6" s="40"/>
      <c r="BT6" s="40"/>
    </row>
    <row r="7" customFormat="false" ht="12.8" hidden="false" customHeight="false" outlineLevel="0" collapsed="false">
      <c r="A7" s="14" t="s">
        <v>22</v>
      </c>
      <c r="B7" s="32" t="s">
        <v>19</v>
      </c>
      <c r="C7" s="32"/>
      <c r="D7" s="32"/>
      <c r="E7" s="33" t="s">
        <v>16</v>
      </c>
      <c r="F7" s="33" t="s">
        <v>28</v>
      </c>
      <c r="G7" s="34" t="n">
        <v>1</v>
      </c>
      <c r="H7" s="27" t="s">
        <v>56</v>
      </c>
      <c r="I7" s="29" t="n">
        <v>1</v>
      </c>
      <c r="J7" s="28" t="n">
        <f aca="false">ROUNDUP(G7/(H7*I7),0)</f>
        <v>1</v>
      </c>
      <c r="P7" s="40"/>
      <c r="U7" s="40"/>
      <c r="AK7" s="40"/>
      <c r="BT7" s="40"/>
    </row>
    <row r="8" customFormat="false" ht="12.8" hidden="false" customHeight="false" outlineLevel="0" collapsed="false">
      <c r="A8" s="14" t="s">
        <v>28</v>
      </c>
      <c r="B8" s="32" t="s">
        <v>25</v>
      </c>
      <c r="C8" s="32"/>
      <c r="D8" s="32"/>
      <c r="E8" s="41" t="s">
        <v>22</v>
      </c>
      <c r="F8" s="41" t="s">
        <v>57</v>
      </c>
      <c r="G8" s="42" t="n">
        <v>3</v>
      </c>
      <c r="H8" s="27" t="s">
        <v>56</v>
      </c>
      <c r="I8" s="29" t="n">
        <v>0.5</v>
      </c>
      <c r="J8" s="28" t="n">
        <f aca="false">ROUNDUP(G8/(H8*I8),0)</f>
        <v>6</v>
      </c>
      <c r="P8" s="40"/>
      <c r="U8" s="40"/>
      <c r="V8" s="30" t="n">
        <f aca="false">S2</f>
        <v>3</v>
      </c>
      <c r="W8" s="31"/>
      <c r="X8" s="30" t="n">
        <f aca="false">V8+V10</f>
        <v>5</v>
      </c>
      <c r="AA8" s="30" t="n">
        <f aca="false">X8</f>
        <v>5</v>
      </c>
      <c r="AB8" s="31"/>
      <c r="AC8" s="30" t="n">
        <f aca="false">AA8+AA10</f>
        <v>9</v>
      </c>
      <c r="AK8" s="40"/>
      <c r="BT8" s="40"/>
    </row>
    <row r="9" customFormat="false" ht="12.8" hidden="false" customHeight="false" outlineLevel="0" collapsed="false">
      <c r="A9" s="14" t="s">
        <v>33</v>
      </c>
      <c r="B9" s="32" t="s">
        <v>31</v>
      </c>
      <c r="C9" s="32"/>
      <c r="D9" s="32"/>
      <c r="E9" s="41" t="s">
        <v>58</v>
      </c>
      <c r="F9" s="41" t="s">
        <v>35</v>
      </c>
      <c r="G9" s="42" t="n">
        <v>2</v>
      </c>
      <c r="H9" s="27" t="s">
        <v>55</v>
      </c>
      <c r="I9" s="29" t="n">
        <f aca="false">(100%+(100%-$I$12))/2</f>
        <v>0.75</v>
      </c>
      <c r="J9" s="28" t="n">
        <f aca="false">ROUNDUP(G9/(H9*I9),0)</f>
        <v>2</v>
      </c>
      <c r="P9" s="40"/>
      <c r="U9" s="40"/>
      <c r="V9" s="35" t="s">
        <v>27</v>
      </c>
      <c r="W9" s="35"/>
      <c r="X9" s="35"/>
      <c r="AA9" s="35" t="s">
        <v>32</v>
      </c>
      <c r="AB9" s="35"/>
      <c r="AC9" s="35"/>
      <c r="AK9" s="40"/>
      <c r="BT9" s="40"/>
    </row>
    <row r="10" customFormat="false" ht="12.8" hidden="false" customHeight="false" outlineLevel="0" collapsed="false">
      <c r="A10" s="14" t="s">
        <v>35</v>
      </c>
      <c r="B10" s="32" t="s">
        <v>34</v>
      </c>
      <c r="C10" s="32"/>
      <c r="D10" s="32"/>
      <c r="E10" s="41" t="s">
        <v>33</v>
      </c>
      <c r="F10" s="41" t="s">
        <v>37</v>
      </c>
      <c r="G10" s="42" t="n">
        <v>2</v>
      </c>
      <c r="H10" s="27" t="s">
        <v>55</v>
      </c>
      <c r="I10" s="29" t="n">
        <f aca="false">(100%+(100%-$I$12))/2</f>
        <v>0.75</v>
      </c>
      <c r="J10" s="28" t="n">
        <f aca="false">ROUNDUP(G10/(H10*I10),0)</f>
        <v>2</v>
      </c>
      <c r="P10" s="40"/>
      <c r="U10" s="38"/>
      <c r="V10" s="36" t="n">
        <f aca="false">J5</f>
        <v>2</v>
      </c>
      <c r="W10" s="37" t="n">
        <f aca="false">X11-X8</f>
        <v>5</v>
      </c>
      <c r="X10" s="36" t="n">
        <f aca="false">AA8-X8</f>
        <v>0</v>
      </c>
      <c r="Y10" s="38"/>
      <c r="Z10" s="38"/>
      <c r="AA10" s="36" t="n">
        <f aca="false">J6</f>
        <v>4</v>
      </c>
      <c r="AB10" s="37" t="n">
        <f aca="false">AC11-AC8</f>
        <v>5</v>
      </c>
      <c r="AC10" s="36" t="n">
        <f aca="false">AL2-AC8</f>
        <v>0</v>
      </c>
      <c r="AD10" s="38"/>
      <c r="AE10" s="38"/>
      <c r="AF10" s="38"/>
      <c r="AG10" s="38"/>
      <c r="AH10" s="38"/>
      <c r="AI10" s="38"/>
      <c r="AJ10" s="38"/>
      <c r="AK10" s="40"/>
      <c r="BT10" s="40"/>
    </row>
    <row r="11" customFormat="false" ht="12.8" hidden="false" customHeight="false" outlineLevel="0" collapsed="false">
      <c r="A11" s="14" t="s">
        <v>37</v>
      </c>
      <c r="B11" s="32" t="s">
        <v>36</v>
      </c>
      <c r="C11" s="32"/>
      <c r="D11" s="32"/>
      <c r="E11" s="41" t="s">
        <v>35</v>
      </c>
      <c r="F11" s="41" t="s">
        <v>23</v>
      </c>
      <c r="G11" s="42" t="n">
        <v>2</v>
      </c>
      <c r="H11" s="27" t="s">
        <v>55</v>
      </c>
      <c r="I11" s="29" t="n">
        <f aca="false">(100%+(100%-$I$12))/2</f>
        <v>0.75</v>
      </c>
      <c r="J11" s="28" t="n">
        <f aca="false">ROUNDUP(G11/(H11*I11),0)</f>
        <v>2</v>
      </c>
      <c r="P11" s="40"/>
      <c r="V11" s="30" t="n">
        <f aca="false">X11-V10</f>
        <v>8</v>
      </c>
      <c r="W11" s="31"/>
      <c r="X11" s="30" t="n">
        <f aca="false">AA11</f>
        <v>10</v>
      </c>
      <c r="AA11" s="30" t="n">
        <f aca="false">AC11-AA10</f>
        <v>10</v>
      </c>
      <c r="AB11" s="31"/>
      <c r="AC11" s="30" t="n">
        <f aca="false">AL5</f>
        <v>14</v>
      </c>
      <c r="AK11" s="40"/>
      <c r="BT11" s="40"/>
    </row>
    <row r="12" customFormat="false" ht="12.8" hidden="false" customHeight="false" outlineLevel="0" collapsed="false">
      <c r="A12" s="14" t="s">
        <v>17</v>
      </c>
      <c r="B12" s="32" t="s">
        <v>59</v>
      </c>
      <c r="C12" s="32"/>
      <c r="D12" s="32"/>
      <c r="E12" s="41" t="s">
        <v>28</v>
      </c>
      <c r="F12" s="41" t="s">
        <v>44</v>
      </c>
      <c r="G12" s="42" t="n">
        <v>10</v>
      </c>
      <c r="H12" s="27" t="s">
        <v>56</v>
      </c>
      <c r="I12" s="29" t="n">
        <v>0.5</v>
      </c>
      <c r="J12" s="28" t="n">
        <f aca="false">ROUNDUP(G12/(H12*I12),0)</f>
        <v>20</v>
      </c>
      <c r="P12" s="40"/>
      <c r="AA12" s="43"/>
      <c r="AK12" s="40"/>
      <c r="BT12" s="40"/>
    </row>
    <row r="13" customFormat="false" ht="12.8" hidden="false" customHeight="false" outlineLevel="0" collapsed="false">
      <c r="A13" s="14" t="s">
        <v>23</v>
      </c>
      <c r="B13" s="32" t="s">
        <v>20</v>
      </c>
      <c r="C13" s="32"/>
      <c r="D13" s="32"/>
      <c r="E13" s="41" t="s">
        <v>37</v>
      </c>
      <c r="F13" s="41" t="s">
        <v>41</v>
      </c>
      <c r="G13" s="42" t="n">
        <v>3</v>
      </c>
      <c r="H13" s="27" t="s">
        <v>55</v>
      </c>
      <c r="I13" s="29" t="n">
        <f aca="false">(100%+(100%-$I$12))/2</f>
        <v>0.75</v>
      </c>
      <c r="J13" s="28" t="n">
        <f aca="false">ROUNDUP(G13/(H13*I13),0)</f>
        <v>2</v>
      </c>
      <c r="P13" s="40"/>
      <c r="AA13" s="43"/>
      <c r="AK13" s="40"/>
      <c r="BT13" s="40"/>
    </row>
    <row r="14" customFormat="false" ht="12.8" hidden="false" customHeight="false" outlineLevel="0" collapsed="false">
      <c r="A14" s="14" t="s">
        <v>41</v>
      </c>
      <c r="B14" s="32" t="s">
        <v>40</v>
      </c>
      <c r="C14" s="32"/>
      <c r="D14" s="32"/>
      <c r="E14" s="41" t="s">
        <v>23</v>
      </c>
      <c r="F14" s="41" t="s">
        <v>29</v>
      </c>
      <c r="G14" s="42" t="n">
        <v>3</v>
      </c>
      <c r="H14" s="27" t="s">
        <v>55</v>
      </c>
      <c r="I14" s="29" t="n">
        <f aca="false">(100%+(100%-$I$12))/2</f>
        <v>0.75</v>
      </c>
      <c r="J14" s="28" t="n">
        <f aca="false">ROUNDUP(G14/(H14*I14),0)</f>
        <v>2</v>
      </c>
      <c r="P14" s="40"/>
      <c r="Q14" s="30" t="n">
        <f aca="false">N2</f>
        <v>2</v>
      </c>
      <c r="R14" s="31"/>
      <c r="S14" s="30" t="n">
        <f aca="false">Q14+Q16</f>
        <v>3</v>
      </c>
      <c r="V14" s="30" t="n">
        <f aca="false">S14</f>
        <v>3</v>
      </c>
      <c r="W14" s="31"/>
      <c r="X14" s="30" t="n">
        <f aca="false">V14+V16</f>
        <v>9</v>
      </c>
      <c r="AK14" s="40"/>
      <c r="AL14" s="30" t="n">
        <f aca="false">X14</f>
        <v>9</v>
      </c>
      <c r="AM14" s="31"/>
      <c r="AN14" s="30" t="n">
        <f aca="false">AL14+AL16</f>
        <v>29</v>
      </c>
      <c r="BT14" s="40"/>
    </row>
    <row r="15" customFormat="false" ht="12.8" hidden="false" customHeight="false" outlineLevel="0" collapsed="false">
      <c r="A15" s="14" t="s">
        <v>29</v>
      </c>
      <c r="B15" s="32" t="s">
        <v>26</v>
      </c>
      <c r="C15" s="32"/>
      <c r="D15" s="32"/>
      <c r="E15" s="41" t="s">
        <v>41</v>
      </c>
      <c r="F15" s="41" t="s">
        <v>43</v>
      </c>
      <c r="G15" s="42" t="n">
        <v>1</v>
      </c>
      <c r="H15" s="27" t="s">
        <v>55</v>
      </c>
      <c r="I15" s="29" t="n">
        <f aca="false">(100%+(100%-$I$12))/2</f>
        <v>0.75</v>
      </c>
      <c r="J15" s="28" t="n">
        <f aca="false">ROUNDUP(G15/(H15*I15),0)</f>
        <v>1</v>
      </c>
      <c r="P15" s="40"/>
      <c r="Q15" s="35" t="s">
        <v>22</v>
      </c>
      <c r="R15" s="35"/>
      <c r="S15" s="35"/>
      <c r="V15" s="35" t="s">
        <v>28</v>
      </c>
      <c r="W15" s="35"/>
      <c r="X15" s="35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43"/>
      <c r="AL15" s="35" t="s">
        <v>17</v>
      </c>
      <c r="AM15" s="35"/>
      <c r="AN15" s="35"/>
      <c r="BT15" s="40"/>
    </row>
    <row r="16" customFormat="false" ht="12.8" hidden="false" customHeight="false" outlineLevel="0" collapsed="false">
      <c r="A16" s="14" t="s">
        <v>43</v>
      </c>
      <c r="B16" s="32" t="s">
        <v>42</v>
      </c>
      <c r="C16" s="32"/>
      <c r="D16" s="32"/>
      <c r="E16" s="41" t="s">
        <v>29</v>
      </c>
      <c r="F16" s="41" t="s">
        <v>44</v>
      </c>
      <c r="G16" s="42" t="n">
        <v>5</v>
      </c>
      <c r="H16" s="27" t="s">
        <v>55</v>
      </c>
      <c r="I16" s="29" t="n">
        <f aca="false">(100%+(100%-$I$12))/2</f>
        <v>0.75</v>
      </c>
      <c r="J16" s="28" t="n">
        <f aca="false">ROUNDUP(G16/(H16*I16),0)</f>
        <v>4</v>
      </c>
      <c r="P16" s="38"/>
      <c r="Q16" s="36" t="n">
        <f aca="false">J7</f>
        <v>1</v>
      </c>
      <c r="R16" s="37" t="n">
        <f aca="false">S17-S14</f>
        <v>0</v>
      </c>
      <c r="S16" s="36" t="n">
        <f aca="false">V14-S14</f>
        <v>0</v>
      </c>
      <c r="T16" s="38"/>
      <c r="U16" s="38"/>
      <c r="V16" s="36" t="n">
        <f aca="false">J8</f>
        <v>6</v>
      </c>
      <c r="W16" s="37" t="n">
        <f aca="false">X17-X14</f>
        <v>0</v>
      </c>
      <c r="X16" s="36" t="n">
        <f aca="false">MIN(AL2,AL14)-X14</f>
        <v>0</v>
      </c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6" t="n">
        <f aca="false">J12</f>
        <v>20</v>
      </c>
      <c r="AM16" s="37" t="n">
        <f aca="false">AN17-AN14</f>
        <v>0</v>
      </c>
      <c r="AN16" s="36" t="n">
        <f aca="false">BU2-AN14</f>
        <v>0</v>
      </c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</row>
    <row r="17" customFormat="false" ht="12.8" hidden="false" customHeight="false" outlineLevel="0" collapsed="false">
      <c r="A17" s="17" t="s">
        <v>44</v>
      </c>
      <c r="B17" s="44" t="s">
        <v>45</v>
      </c>
      <c r="C17" s="44"/>
      <c r="D17" s="44"/>
      <c r="E17" s="45" t="s">
        <v>60</v>
      </c>
      <c r="F17" s="46"/>
      <c r="G17" s="47" t="n">
        <v>1</v>
      </c>
      <c r="H17" s="27" t="s">
        <v>53</v>
      </c>
      <c r="I17" s="29" t="n">
        <v>1</v>
      </c>
      <c r="J17" s="28" t="n">
        <f aca="false">ROUNDUP(G17/(H17*I17),0)</f>
        <v>1</v>
      </c>
      <c r="Q17" s="30" t="n">
        <f aca="false">S17-Q16</f>
        <v>2</v>
      </c>
      <c r="R17" s="31"/>
      <c r="S17" s="30" t="n">
        <f aca="false">V17</f>
        <v>3</v>
      </c>
      <c r="V17" s="30" t="n">
        <f aca="false">X17-V16</f>
        <v>3</v>
      </c>
      <c r="W17" s="31"/>
      <c r="X17" s="30" t="n">
        <f aca="false">MIN(AL5,AL17)</f>
        <v>9</v>
      </c>
      <c r="AL17" s="30" t="n">
        <f aca="false">AN17-AL16</f>
        <v>9</v>
      </c>
      <c r="AM17" s="31"/>
      <c r="AN17" s="30" t="n">
        <f aca="false">BU5</f>
        <v>29</v>
      </c>
    </row>
    <row r="19" customFormat="false" ht="12.8" hidden="false" customHeight="false" outlineLevel="0" collapsed="false">
      <c r="A19" s="48" t="s">
        <v>61</v>
      </c>
      <c r="B19" s="49" t="s">
        <v>62</v>
      </c>
      <c r="C19" s="50"/>
      <c r="D19" s="51" t="s">
        <v>63</v>
      </c>
    </row>
    <row r="20" customFormat="false" ht="12.8" hidden="false" customHeight="false" outlineLevel="0" collapsed="false">
      <c r="B20" s="35" t="s">
        <v>38</v>
      </c>
      <c r="C20" s="35"/>
      <c r="D20" s="35"/>
    </row>
    <row r="21" customFormat="false" ht="12.8" hidden="false" customHeight="false" outlineLevel="0" collapsed="false">
      <c r="B21" s="35" t="s">
        <v>51</v>
      </c>
      <c r="C21" s="37" t="s">
        <v>64</v>
      </c>
      <c r="D21" s="36" t="s">
        <v>65</v>
      </c>
    </row>
    <row r="22" customFormat="false" ht="12.8" hidden="false" customHeight="false" outlineLevel="0" collapsed="false">
      <c r="A22" s="52" t="s">
        <v>66</v>
      </c>
      <c r="B22" s="53" t="s">
        <v>62</v>
      </c>
      <c r="C22" s="54"/>
      <c r="D22" s="55" t="s">
        <v>63</v>
      </c>
      <c r="G22" s="3" t="n">
        <v>25</v>
      </c>
      <c r="H22" s="3" t="n">
        <v>5</v>
      </c>
      <c r="I22" s="21" t="n">
        <v>0.75</v>
      </c>
      <c r="J22" s="3" t="n">
        <f aca="false">G22/(H22*I22)</f>
        <v>6.66666666666667</v>
      </c>
    </row>
    <row r="23" customFormat="false" ht="12.8" hidden="false" customHeight="false" outlineLevel="0" collapsed="false">
      <c r="G23" s="3" t="n">
        <v>20</v>
      </c>
      <c r="H23" s="3" t="n">
        <v>5</v>
      </c>
      <c r="I23" s="21" t="n">
        <v>0.8</v>
      </c>
      <c r="J23" s="3" t="n">
        <f aca="false">G23/(H23*I23)</f>
        <v>5</v>
      </c>
    </row>
    <row r="24" customFormat="false" ht="12.8" hidden="false" customHeight="false" outlineLevel="0" collapsed="false">
      <c r="B24" s="56" t="s">
        <v>67</v>
      </c>
      <c r="C24" s="31"/>
      <c r="D24" s="30" t="s">
        <v>68</v>
      </c>
    </row>
    <row r="25" customFormat="false" ht="12.8" hidden="false" customHeight="false" outlineLevel="0" collapsed="false">
      <c r="B25" s="35" t="s">
        <v>69</v>
      </c>
      <c r="C25" s="35"/>
      <c r="D25" s="35"/>
    </row>
    <row r="26" customFormat="false" ht="12.8" hidden="false" customHeight="false" outlineLevel="0" collapsed="false">
      <c r="B26" s="35" t="s">
        <v>70</v>
      </c>
      <c r="C26" s="37" t="s">
        <v>71</v>
      </c>
      <c r="D26" s="36" t="s">
        <v>72</v>
      </c>
    </row>
    <row r="27" customFormat="false" ht="12.8" hidden="false" customHeight="false" outlineLevel="0" collapsed="false">
      <c r="B27" s="56" t="s">
        <v>73</v>
      </c>
      <c r="C27" s="31"/>
      <c r="D27" s="30" t="s">
        <v>74</v>
      </c>
    </row>
    <row r="29" customFormat="false" ht="12.8" hidden="false" customHeight="false" outlineLevel="0" collapsed="false">
      <c r="A29" s="0" t="s">
        <v>67</v>
      </c>
      <c r="B29" s="57" t="s">
        <v>75</v>
      </c>
      <c r="C29" s="58" t="s">
        <v>76</v>
      </c>
      <c r="D29" s="58"/>
    </row>
    <row r="30" customFormat="false" ht="12.8" hidden="false" customHeight="false" outlineLevel="0" collapsed="false">
      <c r="A30" s="0" t="s">
        <v>68</v>
      </c>
      <c r="B30" s="57" t="s">
        <v>75</v>
      </c>
      <c r="C30" s="58" t="s">
        <v>77</v>
      </c>
      <c r="D30" s="58"/>
    </row>
    <row r="31" customFormat="false" ht="12.8" hidden="false" customHeight="false" outlineLevel="0" collapsed="false">
      <c r="B31" s="57"/>
    </row>
    <row r="32" customFormat="false" ht="12.8" hidden="false" customHeight="false" outlineLevel="0" collapsed="false">
      <c r="A32" s="0" t="s">
        <v>68</v>
      </c>
      <c r="B32" s="57" t="s">
        <v>75</v>
      </c>
      <c r="C32" s="58" t="s">
        <v>77</v>
      </c>
      <c r="D32" s="58"/>
    </row>
    <row r="33" customFormat="false" ht="12.8" hidden="false" customHeight="false" outlineLevel="0" collapsed="false">
      <c r="A33" s="0" t="s">
        <v>67</v>
      </c>
      <c r="B33" s="57" t="s">
        <v>75</v>
      </c>
      <c r="C33" s="58" t="s">
        <v>76</v>
      </c>
      <c r="D33" s="58"/>
    </row>
    <row r="34" customFormat="false" ht="12.8" hidden="false" customHeight="false" outlineLevel="0" collapsed="false">
      <c r="B34" s="57"/>
    </row>
    <row r="35" customFormat="false" ht="12.8" hidden="false" customHeight="false" outlineLevel="0" collapsed="false">
      <c r="B35" s="57"/>
    </row>
  </sheetData>
  <mergeCells count="39">
    <mergeCell ref="B1:D1"/>
    <mergeCell ref="B2:D2"/>
    <mergeCell ref="B3:D3"/>
    <mergeCell ref="L3:N3"/>
    <mergeCell ref="Q3:S3"/>
    <mergeCell ref="V3:X3"/>
    <mergeCell ref="AL3:AN3"/>
    <mergeCell ref="AQ3:AS3"/>
    <mergeCell ref="AV3:AX3"/>
    <mergeCell ref="BA3:BC3"/>
    <mergeCell ref="BF3:BH3"/>
    <mergeCell ref="BK3:BM3"/>
    <mergeCell ref="BP3:BR3"/>
    <mergeCell ref="BU3:BW3"/>
    <mergeCell ref="B4:D4"/>
    <mergeCell ref="B5:D5"/>
    <mergeCell ref="B6:D6"/>
    <mergeCell ref="B7:D7"/>
    <mergeCell ref="B8:D8"/>
    <mergeCell ref="B9:D9"/>
    <mergeCell ref="V9:X9"/>
    <mergeCell ref="AA9:AC9"/>
    <mergeCell ref="B10:D10"/>
    <mergeCell ref="B11:D11"/>
    <mergeCell ref="B12:D12"/>
    <mergeCell ref="B13:D13"/>
    <mergeCell ref="B14:D14"/>
    <mergeCell ref="B15:D15"/>
    <mergeCell ref="Q15:S15"/>
    <mergeCell ref="V15:X15"/>
    <mergeCell ref="AL15:AN15"/>
    <mergeCell ref="B16:D16"/>
    <mergeCell ref="B17:D17"/>
    <mergeCell ref="B20:D20"/>
    <mergeCell ref="B25:D25"/>
    <mergeCell ref="C29:D29"/>
    <mergeCell ref="C30:D30"/>
    <mergeCell ref="C32:D32"/>
    <mergeCell ref="C33:D33"/>
  </mergeCells>
  <conditionalFormatting sqref="C21 C26 W16:X16 V10:W10 AM16:AN16 BV4 BQ4 BL4 BG4 BB4 AW4 AR4 AM4 AB10 W4 R4 R16 M4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2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8" ySplit="0" topLeftCell="I1" activePane="topRight" state="frozen"/>
      <selection pane="topLeft" activeCell="A1" activeCellId="0" sqref="A1"/>
      <selection pane="topRight" activeCell="I2" activeCellId="0" sqref="I2"/>
    </sheetView>
  </sheetViews>
  <sheetFormatPr defaultColWidth="11.7578125" defaultRowHeight="12.8" zeroHeight="false" outlineLevelRow="0" outlineLevelCol="1"/>
  <cols>
    <col collapsed="false" customWidth="true" hidden="true" outlineLevel="1" max="5" min="5" style="0" width="16.2"/>
    <col collapsed="false" customWidth="true" hidden="true" outlineLevel="1" max="6" min="6" style="0" width="11.52"/>
    <col collapsed="false" customWidth="true" hidden="false" outlineLevel="0" max="7" min="7" style="0" width="11.59"/>
    <col collapsed="false" customWidth="true" hidden="true" outlineLevel="1" max="8" min="8" style="0" width="3.59"/>
    <col collapsed="false" customWidth="true" hidden="false" outlineLevel="0" max="62" min="9" style="0" width="3.59"/>
    <col collapsed="false" customWidth="true" hidden="false" outlineLevel="0" max="63" min="63" style="0" width="7.65"/>
    <col collapsed="false" customWidth="true" hidden="false" outlineLevel="0" max="64" min="64" style="0" width="8.52"/>
    <col collapsed="false" customWidth="true" hidden="false" outlineLevel="0" max="65" min="65" style="0" width="11.52"/>
    <col collapsed="false" customWidth="true" hidden="false" outlineLevel="0" max="1024" min="1022" style="0" width="11.52"/>
  </cols>
  <sheetData>
    <row r="1" customFormat="false" ht="40.25" hidden="false" customHeight="false" outlineLevel="0" collapsed="false">
      <c r="A1" s="8" t="s">
        <v>38</v>
      </c>
      <c r="B1" s="9" t="s">
        <v>39</v>
      </c>
      <c r="C1" s="9"/>
      <c r="D1" s="9"/>
      <c r="E1" s="23" t="s">
        <v>46</v>
      </c>
      <c r="F1" s="23" t="s">
        <v>47</v>
      </c>
      <c r="G1" s="59" t="s">
        <v>51</v>
      </c>
      <c r="H1" s="59"/>
      <c r="I1" s="60" t="n">
        <v>44515</v>
      </c>
      <c r="J1" s="60" t="n">
        <v>44516</v>
      </c>
      <c r="K1" s="60" t="n">
        <v>44517</v>
      </c>
      <c r="L1" s="60" t="n">
        <v>44518</v>
      </c>
      <c r="M1" s="60" t="n">
        <v>44519</v>
      </c>
      <c r="N1" s="60" t="n">
        <v>44520</v>
      </c>
      <c r="O1" s="60" t="n">
        <v>44521</v>
      </c>
      <c r="P1" s="60" t="n">
        <v>44522</v>
      </c>
      <c r="Q1" s="60" t="n">
        <v>44523</v>
      </c>
      <c r="R1" s="60" t="n">
        <v>44524</v>
      </c>
      <c r="S1" s="60" t="n">
        <v>44525</v>
      </c>
      <c r="T1" s="60" t="n">
        <v>44526</v>
      </c>
      <c r="U1" s="60" t="n">
        <v>44527</v>
      </c>
      <c r="V1" s="60" t="n">
        <v>44528</v>
      </c>
      <c r="W1" s="60" t="n">
        <v>44529</v>
      </c>
      <c r="X1" s="60" t="n">
        <v>44530</v>
      </c>
      <c r="Y1" s="60" t="n">
        <v>44531</v>
      </c>
      <c r="Z1" s="60" t="n">
        <v>44532</v>
      </c>
      <c r="AA1" s="60" t="n">
        <v>44533</v>
      </c>
      <c r="AB1" s="60" t="n">
        <v>44534</v>
      </c>
      <c r="AC1" s="60" t="n">
        <v>44535</v>
      </c>
      <c r="AD1" s="60" t="n">
        <v>44536</v>
      </c>
      <c r="AE1" s="60" t="n">
        <v>44537</v>
      </c>
      <c r="AF1" s="60" t="n">
        <v>44538</v>
      </c>
      <c r="AG1" s="60" t="n">
        <v>44539</v>
      </c>
      <c r="AH1" s="60" t="n">
        <v>44540</v>
      </c>
      <c r="AI1" s="60" t="n">
        <v>44541</v>
      </c>
      <c r="AJ1" s="60" t="n">
        <v>44542</v>
      </c>
      <c r="AK1" s="60" t="n">
        <v>44543</v>
      </c>
      <c r="AL1" s="60" t="n">
        <v>44544</v>
      </c>
      <c r="AM1" s="60" t="n">
        <v>44545</v>
      </c>
      <c r="AN1" s="60" t="n">
        <v>44546</v>
      </c>
      <c r="AO1" s="60" t="n">
        <v>44547</v>
      </c>
      <c r="AP1" s="60" t="n">
        <v>44548</v>
      </c>
      <c r="AQ1" s="60" t="n">
        <v>44549</v>
      </c>
      <c r="AR1" s="60" t="n">
        <v>44550</v>
      </c>
      <c r="AS1" s="60" t="n">
        <v>44551</v>
      </c>
      <c r="AT1" s="60" t="n">
        <v>44552</v>
      </c>
      <c r="AU1" s="60" t="n">
        <v>44553</v>
      </c>
      <c r="AV1" s="61" t="n">
        <v>44554</v>
      </c>
      <c r="AW1" s="60" t="n">
        <v>44555</v>
      </c>
      <c r="AX1" s="60" t="n">
        <v>44556</v>
      </c>
      <c r="AY1" s="60" t="n">
        <v>44557</v>
      </c>
      <c r="AZ1" s="60" t="n">
        <v>44558</v>
      </c>
      <c r="BA1" s="60" t="n">
        <v>44559</v>
      </c>
      <c r="BB1" s="60" t="n">
        <v>44560</v>
      </c>
      <c r="BC1" s="61" t="n">
        <v>44561</v>
      </c>
      <c r="BD1" s="60" t="n">
        <v>44562</v>
      </c>
      <c r="BE1" s="60" t="n">
        <v>44563</v>
      </c>
      <c r="BF1" s="60" t="n">
        <v>44564</v>
      </c>
      <c r="BG1" s="60" t="n">
        <v>44565</v>
      </c>
      <c r="BH1" s="60" t="n">
        <v>44566</v>
      </c>
      <c r="BI1" s="61" t="n">
        <v>44567</v>
      </c>
      <c r="BJ1" s="60" t="n">
        <v>44568</v>
      </c>
      <c r="BK1" s="62"/>
      <c r="BL1" s="63"/>
      <c r="BM1" s="64"/>
    </row>
    <row r="2" customFormat="false" ht="12.8" hidden="false" customHeight="false" outlineLevel="0" collapsed="false">
      <c r="A2" s="11" t="s">
        <v>16</v>
      </c>
      <c r="B2" s="12" t="s">
        <v>13</v>
      </c>
      <c r="C2" s="12"/>
      <c r="D2" s="12"/>
      <c r="E2" s="26"/>
      <c r="F2" s="27" t="s">
        <v>52</v>
      </c>
      <c r="G2" s="65" t="n">
        <f aca="false">Netzplan!J2</f>
        <v>2</v>
      </c>
      <c r="H2" s="66" t="n">
        <f aca="false">SUM(I2:BJ2)</f>
        <v>0</v>
      </c>
      <c r="I2" s="67"/>
      <c r="J2" s="67"/>
      <c r="K2" s="67"/>
      <c r="L2" s="67"/>
      <c r="M2" s="67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9"/>
      <c r="AW2" s="68"/>
      <c r="AX2" s="68"/>
      <c r="AY2" s="68"/>
      <c r="AZ2" s="68"/>
      <c r="BA2" s="68"/>
      <c r="BB2" s="68"/>
      <c r="BC2" s="69"/>
      <c r="BD2" s="68"/>
      <c r="BE2" s="68"/>
      <c r="BF2" s="68"/>
      <c r="BG2" s="68"/>
      <c r="BH2" s="68"/>
      <c r="BI2" s="69"/>
      <c r="BJ2" s="70"/>
      <c r="BK2" s="62"/>
      <c r="BL2" s="63"/>
      <c r="BM2" s="64"/>
    </row>
    <row r="3" customFormat="false" ht="12.8" hidden="false" customHeight="false" outlineLevel="0" collapsed="false">
      <c r="A3" s="14" t="s">
        <v>15</v>
      </c>
      <c r="B3" s="15" t="s">
        <v>12</v>
      </c>
      <c r="C3" s="15"/>
      <c r="D3" s="15"/>
      <c r="E3" s="33" t="s">
        <v>16</v>
      </c>
      <c r="F3" s="33" t="s">
        <v>54</v>
      </c>
      <c r="G3" s="65" t="n">
        <f aca="false">Netzplan!J3</f>
        <v>1</v>
      </c>
      <c r="H3" s="66" t="n">
        <f aca="false">SUM(I3:BJ3)</f>
        <v>0</v>
      </c>
      <c r="I3" s="71"/>
      <c r="J3" s="71"/>
      <c r="K3" s="71"/>
      <c r="L3" s="71"/>
      <c r="M3" s="71"/>
      <c r="N3" s="71"/>
      <c r="O3" s="71"/>
      <c r="P3" s="72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3"/>
      <c r="AW3" s="71"/>
      <c r="AX3" s="71"/>
      <c r="AY3" s="71"/>
      <c r="AZ3" s="71"/>
      <c r="BA3" s="71"/>
      <c r="BB3" s="71"/>
      <c r="BC3" s="73"/>
      <c r="BD3" s="71"/>
      <c r="BE3" s="71"/>
      <c r="BF3" s="71"/>
      <c r="BG3" s="71"/>
      <c r="BH3" s="71"/>
      <c r="BI3" s="73"/>
      <c r="BJ3" s="74"/>
      <c r="BK3" s="62"/>
      <c r="BL3" s="63"/>
      <c r="BM3" s="64"/>
    </row>
    <row r="4" customFormat="false" ht="12.8" hidden="false" customHeight="false" outlineLevel="0" collapsed="false">
      <c r="A4" s="14" t="s">
        <v>21</v>
      </c>
      <c r="B4" s="15" t="s">
        <v>18</v>
      </c>
      <c r="C4" s="15"/>
      <c r="D4" s="15"/>
      <c r="E4" s="33" t="s">
        <v>15</v>
      </c>
      <c r="F4" s="33" t="s">
        <v>33</v>
      </c>
      <c r="G4" s="65" t="n">
        <f aca="false">Netzplan!J4</f>
        <v>6</v>
      </c>
      <c r="H4" s="66" t="n">
        <f aca="false">SUM(I4:BJ4)</f>
        <v>0</v>
      </c>
      <c r="I4" s="71"/>
      <c r="J4" s="71"/>
      <c r="K4" s="71"/>
      <c r="L4" s="71"/>
      <c r="M4" s="71"/>
      <c r="N4" s="71"/>
      <c r="O4" s="71"/>
      <c r="P4" s="71"/>
      <c r="Q4" s="72"/>
      <c r="R4" s="72"/>
      <c r="S4" s="72"/>
      <c r="T4" s="72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3"/>
      <c r="AW4" s="71"/>
      <c r="AX4" s="71"/>
      <c r="AY4" s="71"/>
      <c r="AZ4" s="71"/>
      <c r="BA4" s="71"/>
      <c r="BB4" s="71"/>
      <c r="BC4" s="73"/>
      <c r="BD4" s="71"/>
      <c r="BE4" s="71"/>
      <c r="BF4" s="71"/>
      <c r="BG4" s="71"/>
      <c r="BH4" s="71"/>
      <c r="BI4" s="73"/>
      <c r="BJ4" s="74"/>
      <c r="BK4" s="62"/>
      <c r="BL4" s="63"/>
      <c r="BM4" s="64"/>
    </row>
    <row r="5" customFormat="false" ht="12.8" hidden="false" customHeight="false" outlineLevel="0" collapsed="false">
      <c r="A5" s="14" t="s">
        <v>27</v>
      </c>
      <c r="B5" s="15" t="s">
        <v>24</v>
      </c>
      <c r="C5" s="15"/>
      <c r="D5" s="15"/>
      <c r="E5" s="33" t="s">
        <v>15</v>
      </c>
      <c r="F5" s="33" t="s">
        <v>32</v>
      </c>
      <c r="G5" s="65" t="n">
        <f aca="false">Netzplan!J5</f>
        <v>2</v>
      </c>
      <c r="H5" s="66" t="n">
        <f aca="false">SUM(I5:BJ5)</f>
        <v>0</v>
      </c>
      <c r="I5" s="71"/>
      <c r="J5" s="71"/>
      <c r="K5" s="71"/>
      <c r="L5" s="72"/>
      <c r="M5" s="72"/>
      <c r="N5" s="71"/>
      <c r="O5" s="71"/>
      <c r="P5" s="71"/>
      <c r="Q5" s="72"/>
      <c r="R5" s="72"/>
      <c r="S5" s="75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3"/>
      <c r="AW5" s="71"/>
      <c r="AX5" s="71"/>
      <c r="AY5" s="71"/>
      <c r="AZ5" s="71"/>
      <c r="BA5" s="71"/>
      <c r="BB5" s="71"/>
      <c r="BC5" s="73"/>
      <c r="BD5" s="71"/>
      <c r="BE5" s="71"/>
      <c r="BF5" s="71"/>
      <c r="BG5" s="71"/>
      <c r="BH5" s="71"/>
      <c r="BI5" s="73"/>
      <c r="BJ5" s="74"/>
      <c r="BK5" s="62"/>
      <c r="BL5" s="63"/>
      <c r="BM5" s="64"/>
    </row>
    <row r="6" customFormat="false" ht="12.8" hidden="false" customHeight="false" outlineLevel="0" collapsed="false">
      <c r="A6" s="14" t="s">
        <v>32</v>
      </c>
      <c r="B6" s="15" t="s">
        <v>30</v>
      </c>
      <c r="C6" s="15"/>
      <c r="D6" s="15"/>
      <c r="E6" s="41" t="s">
        <v>27</v>
      </c>
      <c r="F6" s="41" t="s">
        <v>33</v>
      </c>
      <c r="G6" s="65" t="n">
        <f aca="false">Netzplan!J6</f>
        <v>4</v>
      </c>
      <c r="H6" s="66" t="n">
        <f aca="false">SUM(I6:BJ6)</f>
        <v>0</v>
      </c>
      <c r="I6" s="71"/>
      <c r="J6" s="71"/>
      <c r="K6" s="71"/>
      <c r="L6" s="71"/>
      <c r="M6" s="71"/>
      <c r="N6" s="71"/>
      <c r="O6" s="71"/>
      <c r="P6" s="72"/>
      <c r="Q6" s="72"/>
      <c r="R6" s="72"/>
      <c r="S6" s="72"/>
      <c r="T6" s="72"/>
      <c r="U6" s="71"/>
      <c r="V6" s="71"/>
      <c r="W6" s="72"/>
      <c r="X6" s="72"/>
      <c r="Y6" s="72"/>
      <c r="Z6" s="72"/>
      <c r="AA6" s="75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3"/>
      <c r="AW6" s="71"/>
      <c r="AX6" s="71"/>
      <c r="AY6" s="71"/>
      <c r="AZ6" s="71"/>
      <c r="BA6" s="71"/>
      <c r="BB6" s="71"/>
      <c r="BC6" s="73"/>
      <c r="BD6" s="71"/>
      <c r="BE6" s="71"/>
      <c r="BF6" s="71"/>
      <c r="BG6" s="71"/>
      <c r="BH6" s="71"/>
      <c r="BI6" s="73"/>
      <c r="BJ6" s="74"/>
      <c r="BK6" s="62"/>
      <c r="BL6" s="63"/>
      <c r="BM6" s="64"/>
    </row>
    <row r="7" customFormat="false" ht="12.8" hidden="false" customHeight="false" outlineLevel="0" collapsed="false">
      <c r="A7" s="14" t="s">
        <v>22</v>
      </c>
      <c r="B7" s="15" t="s">
        <v>19</v>
      </c>
      <c r="C7" s="15"/>
      <c r="D7" s="15"/>
      <c r="E7" s="33" t="s">
        <v>16</v>
      </c>
      <c r="F7" s="33" t="s">
        <v>28</v>
      </c>
      <c r="G7" s="65" t="n">
        <f aca="false">Netzplan!J7</f>
        <v>1</v>
      </c>
      <c r="H7" s="66" t="n">
        <f aca="false">SUM(I7:BJ7)</f>
        <v>0</v>
      </c>
      <c r="I7" s="71"/>
      <c r="J7" s="71"/>
      <c r="K7" s="71"/>
      <c r="L7" s="71"/>
      <c r="M7" s="71"/>
      <c r="N7" s="71"/>
      <c r="O7" s="71"/>
      <c r="P7" s="72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3"/>
      <c r="AW7" s="71"/>
      <c r="AX7" s="71"/>
      <c r="AY7" s="71"/>
      <c r="AZ7" s="71"/>
      <c r="BA7" s="71"/>
      <c r="BB7" s="71"/>
      <c r="BC7" s="73"/>
      <c r="BD7" s="71"/>
      <c r="BE7" s="71"/>
      <c r="BF7" s="71"/>
      <c r="BG7" s="71"/>
      <c r="BH7" s="71"/>
      <c r="BI7" s="73"/>
      <c r="BJ7" s="74"/>
      <c r="BK7" s="62"/>
      <c r="BL7" s="63"/>
      <c r="BM7" s="64"/>
    </row>
    <row r="8" customFormat="false" ht="12.8" hidden="false" customHeight="false" outlineLevel="0" collapsed="false">
      <c r="A8" s="14" t="s">
        <v>28</v>
      </c>
      <c r="B8" s="15" t="s">
        <v>25</v>
      </c>
      <c r="C8" s="15"/>
      <c r="D8" s="15"/>
      <c r="E8" s="41" t="s">
        <v>22</v>
      </c>
      <c r="F8" s="41" t="s">
        <v>57</v>
      </c>
      <c r="G8" s="65" t="n">
        <f aca="false">Netzplan!J8</f>
        <v>6</v>
      </c>
      <c r="H8" s="66" t="n">
        <f aca="false">SUM(I8:BJ8)</f>
        <v>0</v>
      </c>
      <c r="I8" s="71"/>
      <c r="J8" s="71"/>
      <c r="K8" s="71"/>
      <c r="L8" s="72"/>
      <c r="M8" s="72"/>
      <c r="N8" s="71"/>
      <c r="O8" s="71"/>
      <c r="P8" s="72"/>
      <c r="Q8" s="72"/>
      <c r="R8" s="72"/>
      <c r="S8" s="72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3"/>
      <c r="AW8" s="71"/>
      <c r="AX8" s="71"/>
      <c r="AY8" s="71"/>
      <c r="AZ8" s="71"/>
      <c r="BA8" s="71"/>
      <c r="BB8" s="71"/>
      <c r="BC8" s="73"/>
      <c r="BD8" s="71"/>
      <c r="BE8" s="71"/>
      <c r="BF8" s="71"/>
      <c r="BG8" s="71"/>
      <c r="BH8" s="71"/>
      <c r="BI8" s="73"/>
      <c r="BJ8" s="74"/>
      <c r="BK8" s="62"/>
      <c r="BL8" s="63"/>
      <c r="BM8" s="64"/>
    </row>
    <row r="9" customFormat="false" ht="12.8" hidden="false" customHeight="false" outlineLevel="0" collapsed="false">
      <c r="A9" s="14"/>
      <c r="B9" s="42" t="s">
        <v>78</v>
      </c>
      <c r="C9" s="42"/>
      <c r="D9" s="42"/>
      <c r="E9" s="41"/>
      <c r="F9" s="41"/>
      <c r="G9" s="65"/>
      <c r="H9" s="66"/>
      <c r="I9" s="71"/>
      <c r="J9" s="71"/>
      <c r="K9" s="71"/>
      <c r="L9" s="72"/>
      <c r="M9" s="72"/>
      <c r="N9" s="71"/>
      <c r="O9" s="71"/>
      <c r="P9" s="72"/>
      <c r="Q9" s="72"/>
      <c r="R9" s="72"/>
      <c r="S9" s="72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3"/>
      <c r="AW9" s="71"/>
      <c r="AX9" s="71"/>
      <c r="AY9" s="71"/>
      <c r="AZ9" s="71"/>
      <c r="BA9" s="71"/>
      <c r="BB9" s="71"/>
      <c r="BC9" s="73"/>
      <c r="BD9" s="71"/>
      <c r="BE9" s="71"/>
      <c r="BF9" s="71"/>
      <c r="BG9" s="71"/>
      <c r="BH9" s="71"/>
      <c r="BI9" s="73"/>
      <c r="BJ9" s="74"/>
      <c r="BK9" s="62"/>
      <c r="BL9" s="63"/>
      <c r="BM9" s="64"/>
    </row>
    <row r="10" customFormat="false" ht="12.8" hidden="false" customHeight="false" outlineLevel="0" collapsed="false">
      <c r="A10" s="14" t="s">
        <v>33</v>
      </c>
      <c r="B10" s="15" t="s">
        <v>31</v>
      </c>
      <c r="C10" s="15"/>
      <c r="D10" s="15"/>
      <c r="E10" s="41" t="s">
        <v>58</v>
      </c>
      <c r="F10" s="41" t="s">
        <v>35</v>
      </c>
      <c r="G10" s="65" t="n">
        <f aca="false">Netzplan!J9</f>
        <v>2</v>
      </c>
      <c r="H10" s="66" t="n">
        <f aca="false">SUM(I10:BJ10)</f>
        <v>0</v>
      </c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2"/>
      <c r="U10" s="71"/>
      <c r="V10" s="71"/>
      <c r="W10" s="72"/>
      <c r="X10" s="72"/>
      <c r="Y10" s="72"/>
      <c r="Z10" s="72"/>
      <c r="AA10" s="74"/>
      <c r="AB10" s="71"/>
      <c r="AC10" s="71"/>
      <c r="AD10" s="72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3"/>
      <c r="AW10" s="71"/>
      <c r="AX10" s="71"/>
      <c r="AY10" s="71"/>
      <c r="AZ10" s="71"/>
      <c r="BA10" s="71"/>
      <c r="BB10" s="71"/>
      <c r="BC10" s="73"/>
      <c r="BD10" s="71"/>
      <c r="BE10" s="71"/>
      <c r="BF10" s="71"/>
      <c r="BG10" s="71"/>
      <c r="BH10" s="71"/>
      <c r="BI10" s="73"/>
      <c r="BJ10" s="74"/>
      <c r="BK10" s="62"/>
      <c r="BL10" s="63"/>
      <c r="BM10" s="64"/>
    </row>
    <row r="11" customFormat="false" ht="12.8" hidden="false" customHeight="false" outlineLevel="0" collapsed="false">
      <c r="A11" s="14" t="s">
        <v>35</v>
      </c>
      <c r="B11" s="15" t="s">
        <v>34</v>
      </c>
      <c r="C11" s="15"/>
      <c r="D11" s="15"/>
      <c r="E11" s="41" t="s">
        <v>33</v>
      </c>
      <c r="F11" s="41" t="s">
        <v>37</v>
      </c>
      <c r="G11" s="65" t="n">
        <f aca="false">Netzplan!J10</f>
        <v>2</v>
      </c>
      <c r="H11" s="66" t="n">
        <f aca="false">SUM(I11:BJ11)</f>
        <v>0</v>
      </c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2"/>
      <c r="Y11" s="72"/>
      <c r="Z11" s="71"/>
      <c r="AA11" s="71"/>
      <c r="AB11" s="71"/>
      <c r="AC11" s="71"/>
      <c r="AE11" s="74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3"/>
      <c r="AW11" s="71"/>
      <c r="AX11" s="71"/>
      <c r="AY11" s="71"/>
      <c r="AZ11" s="71"/>
      <c r="BA11" s="71"/>
      <c r="BB11" s="71"/>
      <c r="BC11" s="73"/>
      <c r="BD11" s="71"/>
      <c r="BE11" s="71"/>
      <c r="BF11" s="71"/>
      <c r="BG11" s="71"/>
      <c r="BH11" s="71"/>
      <c r="BI11" s="73"/>
      <c r="BJ11" s="74"/>
      <c r="BK11" s="62"/>
      <c r="BL11" s="63"/>
      <c r="BM11" s="64"/>
    </row>
    <row r="12" customFormat="false" ht="12.8" hidden="false" customHeight="false" outlineLevel="0" collapsed="false">
      <c r="A12" s="14" t="s">
        <v>37</v>
      </c>
      <c r="B12" s="15" t="s">
        <v>36</v>
      </c>
      <c r="C12" s="15"/>
      <c r="D12" s="15"/>
      <c r="E12" s="41" t="s">
        <v>35</v>
      </c>
      <c r="F12" s="41" t="s">
        <v>23</v>
      </c>
      <c r="G12" s="65" t="n">
        <f aca="false">Netzplan!J11</f>
        <v>2</v>
      </c>
      <c r="H12" s="66" t="n">
        <f aca="false">SUM(I12:BJ12)</f>
        <v>0</v>
      </c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2"/>
      <c r="AA12" s="72"/>
      <c r="AB12" s="71"/>
      <c r="AC12" s="71"/>
      <c r="AE12" s="74"/>
      <c r="AF12" s="71"/>
      <c r="AG12" s="72"/>
      <c r="AH12" s="72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3"/>
      <c r="AW12" s="71"/>
      <c r="AX12" s="71"/>
      <c r="AY12" s="71"/>
      <c r="AZ12" s="71"/>
      <c r="BA12" s="71"/>
      <c r="BB12" s="71"/>
      <c r="BC12" s="73"/>
      <c r="BD12" s="71"/>
      <c r="BE12" s="71"/>
      <c r="BF12" s="71"/>
      <c r="BG12" s="71"/>
      <c r="BH12" s="71"/>
      <c r="BI12" s="73"/>
      <c r="BJ12" s="74"/>
      <c r="BK12" s="62"/>
      <c r="BL12" s="63"/>
      <c r="BM12" s="64"/>
    </row>
    <row r="13" customFormat="false" ht="12.8" hidden="false" customHeight="false" outlineLevel="0" collapsed="false">
      <c r="A13" s="14" t="s">
        <v>17</v>
      </c>
      <c r="B13" s="15" t="s">
        <v>59</v>
      </c>
      <c r="C13" s="15"/>
      <c r="D13" s="15"/>
      <c r="E13" s="41" t="s">
        <v>28</v>
      </c>
      <c r="F13" s="41" t="s">
        <v>44</v>
      </c>
      <c r="G13" s="65" t="n">
        <f aca="false">Netzplan!J12</f>
        <v>20</v>
      </c>
      <c r="H13" s="66" t="n">
        <f aca="false">SUM(I13:BJ13)</f>
        <v>0</v>
      </c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71"/>
      <c r="V13" s="71"/>
      <c r="W13" s="72"/>
      <c r="X13" s="72"/>
      <c r="Y13" s="72"/>
      <c r="Z13" s="72"/>
      <c r="AA13" s="72"/>
      <c r="AB13" s="71"/>
      <c r="AC13" s="71"/>
      <c r="AD13" s="72"/>
      <c r="AE13" s="72"/>
      <c r="AF13" s="72"/>
      <c r="AG13" s="72"/>
      <c r="AH13" s="72"/>
      <c r="AI13" s="71"/>
      <c r="AJ13" s="71"/>
      <c r="AK13" s="72"/>
      <c r="AL13" s="72"/>
      <c r="AM13" s="72"/>
      <c r="AN13" s="72"/>
      <c r="AO13" s="72"/>
      <c r="AP13" s="71"/>
      <c r="AQ13" s="71"/>
      <c r="AR13" s="72"/>
      <c r="AS13" s="72"/>
      <c r="AT13" s="72"/>
      <c r="AU13" s="72"/>
      <c r="AV13" s="76"/>
      <c r="AW13" s="71"/>
      <c r="AX13" s="71"/>
      <c r="AY13" s="72"/>
      <c r="AZ13" s="72"/>
      <c r="BA13" s="72"/>
      <c r="BB13" s="72"/>
      <c r="BC13" s="73"/>
      <c r="BD13" s="71"/>
      <c r="BE13" s="71"/>
      <c r="BF13" s="71"/>
      <c r="BG13" s="71"/>
      <c r="BH13" s="71"/>
      <c r="BI13" s="73"/>
      <c r="BJ13" s="74"/>
      <c r="BK13" s="62"/>
      <c r="BL13" s="63"/>
      <c r="BM13" s="64"/>
    </row>
    <row r="14" customFormat="false" ht="12.8" hidden="false" customHeight="false" outlineLevel="0" collapsed="false">
      <c r="A14" s="14"/>
      <c r="B14" s="42" t="s">
        <v>79</v>
      </c>
      <c r="C14" s="42"/>
      <c r="D14" s="42"/>
      <c r="E14" s="41"/>
      <c r="F14" s="41"/>
      <c r="G14" s="65"/>
      <c r="H14" s="66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2"/>
      <c r="U14" s="71"/>
      <c r="V14" s="71"/>
      <c r="W14" s="72"/>
      <c r="X14" s="72"/>
      <c r="Y14" s="72"/>
      <c r="Z14" s="72"/>
      <c r="AA14" s="72"/>
      <c r="AB14" s="71"/>
      <c r="AC14" s="71"/>
      <c r="AD14" s="72"/>
      <c r="AE14" s="72"/>
      <c r="AF14" s="72"/>
      <c r="AG14" s="72"/>
      <c r="AH14" s="72"/>
      <c r="AI14" s="71"/>
      <c r="AJ14" s="71"/>
      <c r="AK14" s="72"/>
      <c r="AL14" s="72"/>
      <c r="AM14" s="72"/>
      <c r="AN14" s="72"/>
      <c r="AO14" s="72"/>
      <c r="AP14" s="71"/>
      <c r="AQ14" s="71"/>
      <c r="AR14" s="72"/>
      <c r="AS14" s="72"/>
      <c r="AT14" s="72"/>
      <c r="AU14" s="72"/>
      <c r="AV14" s="76"/>
      <c r="AW14" s="71"/>
      <c r="AX14" s="71"/>
      <c r="AY14" s="72"/>
      <c r="AZ14" s="72"/>
      <c r="BA14" s="72"/>
      <c r="BB14" s="72"/>
      <c r="BC14" s="73"/>
      <c r="BD14" s="71"/>
      <c r="BE14" s="71"/>
      <c r="BF14" s="71"/>
      <c r="BG14" s="71"/>
      <c r="BH14" s="71"/>
      <c r="BI14" s="73"/>
      <c r="BJ14" s="74"/>
      <c r="BK14" s="62"/>
      <c r="BL14" s="63"/>
      <c r="BM14" s="64"/>
    </row>
    <row r="15" customFormat="false" ht="12.8" hidden="false" customHeight="false" outlineLevel="0" collapsed="false">
      <c r="A15" s="14" t="s">
        <v>23</v>
      </c>
      <c r="B15" s="15" t="s">
        <v>20</v>
      </c>
      <c r="C15" s="15"/>
      <c r="D15" s="15"/>
      <c r="E15" s="41" t="s">
        <v>37</v>
      </c>
      <c r="F15" s="41" t="s">
        <v>41</v>
      </c>
      <c r="G15" s="65" t="n">
        <f aca="false">Netzplan!J13</f>
        <v>2</v>
      </c>
      <c r="H15" s="66" t="n">
        <f aca="false">SUM(I15:BJ15)</f>
        <v>0</v>
      </c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E15" s="72"/>
      <c r="AF15" s="72"/>
      <c r="AG15" s="71"/>
      <c r="AH15" s="71"/>
      <c r="AI15" s="71"/>
      <c r="AJ15" s="71"/>
      <c r="AK15" s="72"/>
      <c r="AL15" s="72"/>
      <c r="AM15" s="72"/>
      <c r="AN15" s="72"/>
      <c r="AO15" s="72"/>
      <c r="AP15" s="71"/>
      <c r="AQ15" s="71"/>
      <c r="AR15" s="71"/>
      <c r="AS15" s="71"/>
      <c r="AT15" s="71"/>
      <c r="AU15" s="71"/>
      <c r="AV15" s="73"/>
      <c r="AW15" s="71"/>
      <c r="AX15" s="71"/>
      <c r="AY15" s="71"/>
      <c r="AZ15" s="71"/>
      <c r="BA15" s="71"/>
      <c r="BB15" s="71"/>
      <c r="BC15" s="73"/>
      <c r="BD15" s="71"/>
      <c r="BE15" s="71"/>
      <c r="BF15" s="71"/>
      <c r="BG15" s="71"/>
      <c r="BH15" s="71"/>
      <c r="BI15" s="73"/>
      <c r="BJ15" s="74"/>
      <c r="BK15" s="62"/>
      <c r="BL15" s="63"/>
      <c r="BM15" s="64"/>
    </row>
    <row r="16" customFormat="false" ht="12.8" hidden="false" customHeight="false" outlineLevel="0" collapsed="false">
      <c r="A16" s="14" t="s">
        <v>41</v>
      </c>
      <c r="B16" s="15" t="s">
        <v>40</v>
      </c>
      <c r="C16" s="15"/>
      <c r="D16" s="15"/>
      <c r="E16" s="41" t="s">
        <v>23</v>
      </c>
      <c r="F16" s="41" t="s">
        <v>29</v>
      </c>
      <c r="G16" s="65" t="n">
        <f aca="false">Netzplan!J14</f>
        <v>2</v>
      </c>
      <c r="H16" s="66" t="n">
        <f aca="false">SUM(I16:BJ16)</f>
        <v>0</v>
      </c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G16" s="71"/>
      <c r="AH16" s="71"/>
      <c r="AI16" s="71"/>
      <c r="AJ16" s="71"/>
      <c r="AL16" s="71"/>
      <c r="AM16" s="71"/>
      <c r="AN16" s="71"/>
      <c r="AO16" s="72"/>
      <c r="AP16" s="71"/>
      <c r="AQ16" s="71"/>
      <c r="AR16" s="72"/>
      <c r="AS16" s="72"/>
      <c r="AT16" s="72"/>
      <c r="AU16" s="71"/>
      <c r="AV16" s="73"/>
      <c r="AW16" s="71"/>
      <c r="AX16" s="71"/>
      <c r="AY16" s="71"/>
      <c r="AZ16" s="71"/>
      <c r="BA16" s="71"/>
      <c r="BB16" s="71"/>
      <c r="BC16" s="73"/>
      <c r="BD16" s="71"/>
      <c r="BE16" s="71"/>
      <c r="BF16" s="71"/>
      <c r="BG16" s="71"/>
      <c r="BH16" s="71"/>
      <c r="BI16" s="73"/>
      <c r="BJ16" s="74"/>
      <c r="BK16" s="62"/>
      <c r="BL16" s="63"/>
      <c r="BM16" s="64"/>
    </row>
    <row r="17" customFormat="false" ht="12.8" hidden="false" customHeight="false" outlineLevel="0" collapsed="false">
      <c r="A17" s="14" t="s">
        <v>29</v>
      </c>
      <c r="B17" s="15" t="s">
        <v>26</v>
      </c>
      <c r="C17" s="15"/>
      <c r="D17" s="15"/>
      <c r="E17" s="41" t="s">
        <v>41</v>
      </c>
      <c r="F17" s="41" t="s">
        <v>43</v>
      </c>
      <c r="G17" s="65" t="n">
        <f aca="false">Netzplan!J15</f>
        <v>1</v>
      </c>
      <c r="H17" s="66" t="n">
        <f aca="false">SUM(I17:BJ17)</f>
        <v>0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I17" s="71"/>
      <c r="AJ17" s="71"/>
      <c r="AL17" s="71"/>
      <c r="AM17" s="71"/>
      <c r="AO17" s="71"/>
      <c r="AP17" s="71"/>
      <c r="AQ17" s="71"/>
      <c r="AR17" s="74"/>
      <c r="AS17" s="72"/>
      <c r="AT17" s="71"/>
      <c r="AU17" s="71"/>
      <c r="AV17" s="73"/>
      <c r="AW17" s="71"/>
      <c r="AX17" s="71"/>
      <c r="AY17" s="71"/>
      <c r="AZ17" s="71"/>
      <c r="BA17" s="71"/>
      <c r="BB17" s="71"/>
      <c r="BC17" s="73"/>
      <c r="BD17" s="71"/>
      <c r="BE17" s="71"/>
      <c r="BF17" s="71"/>
      <c r="BG17" s="71"/>
      <c r="BH17" s="71"/>
      <c r="BI17" s="73"/>
      <c r="BJ17" s="74"/>
      <c r="BK17" s="62"/>
      <c r="BL17" s="63"/>
      <c r="BM17" s="64"/>
    </row>
    <row r="18" customFormat="false" ht="12.8" hidden="false" customHeight="false" outlineLevel="0" collapsed="false">
      <c r="A18" s="14" t="s">
        <v>43</v>
      </c>
      <c r="B18" s="15" t="s">
        <v>42</v>
      </c>
      <c r="C18" s="15"/>
      <c r="D18" s="15"/>
      <c r="E18" s="41" t="s">
        <v>29</v>
      </c>
      <c r="F18" s="41" t="s">
        <v>44</v>
      </c>
      <c r="G18" s="65" t="n">
        <f aca="false">Netzplan!J16</f>
        <v>4</v>
      </c>
      <c r="H18" s="66" t="n">
        <f aca="false">SUM(I18:BJ18)</f>
        <v>0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L18" s="71"/>
      <c r="AM18" s="74"/>
      <c r="AN18" s="74"/>
      <c r="AO18" s="71"/>
      <c r="AP18" s="71"/>
      <c r="AQ18" s="71"/>
      <c r="AR18" s="71"/>
      <c r="AS18" s="71"/>
      <c r="AT18" s="71"/>
      <c r="AU18" s="72"/>
      <c r="AV18" s="73"/>
      <c r="AW18" s="71"/>
      <c r="AX18" s="71"/>
      <c r="AY18" s="72"/>
      <c r="AZ18" s="72"/>
      <c r="BA18" s="72"/>
      <c r="BB18" s="71"/>
      <c r="BC18" s="73"/>
      <c r="BD18" s="71"/>
      <c r="BE18" s="71"/>
      <c r="BF18" s="71"/>
      <c r="BG18" s="71"/>
      <c r="BH18" s="71"/>
      <c r="BI18" s="73"/>
      <c r="BJ18" s="74"/>
      <c r="BK18" s="62"/>
      <c r="BL18" s="63"/>
      <c r="BM18" s="64"/>
    </row>
    <row r="19" customFormat="false" ht="12.8" hidden="false" customHeight="false" outlineLevel="0" collapsed="false">
      <c r="A19" s="17" t="s">
        <v>44</v>
      </c>
      <c r="B19" s="18" t="s">
        <v>45</v>
      </c>
      <c r="C19" s="18"/>
      <c r="D19" s="18"/>
      <c r="E19" s="45" t="s">
        <v>60</v>
      </c>
      <c r="F19" s="46"/>
      <c r="G19" s="65" t="n">
        <f aca="false">Netzplan!J17</f>
        <v>1</v>
      </c>
      <c r="H19" s="66" t="n">
        <f aca="false">SUM(I19:BJ19)</f>
        <v>0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8"/>
      <c r="AW19" s="77"/>
      <c r="AX19" s="77"/>
      <c r="AY19" s="79"/>
      <c r="AZ19" s="79"/>
      <c r="BA19" s="77"/>
      <c r="BB19" s="77"/>
      <c r="BC19" s="78"/>
      <c r="BD19" s="77"/>
      <c r="BE19" s="77"/>
      <c r="BF19" s="77"/>
      <c r="BG19" s="77"/>
      <c r="BH19" s="77"/>
      <c r="BI19" s="78"/>
      <c r="BJ19" s="80"/>
      <c r="BK19" s="62"/>
      <c r="BL19" s="63"/>
      <c r="BM19" s="64"/>
    </row>
    <row r="22" customFormat="false" ht="12.8" hidden="false" customHeight="false" outlineLevel="0" collapsed="false">
      <c r="A22" s="0" t="s">
        <v>80</v>
      </c>
    </row>
  </sheetData>
  <mergeCells count="19"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</mergeCells>
  <conditionalFormatting sqref="I11:AC15 AE11:BF12 I19:BF19 AL16:BF16 AL17:AM17 AO17:BF17 I1:BF10 AD13:BF14 AE15:BF15 I16:AE16 AG16:AJ16 I17:AG17 I18:AJ18 AI17:AJ17 AL18:BF18">
    <cfRule type="expression" priority="2" aboveAverage="0" equalAverage="0" bottom="0" percent="0" rank="0" text="" dxfId="1">
      <formula>IF(OR(WEEKDAY(I$1)=7,WEEKDAY(I$1)=1),1,0)</formula>
    </cfRule>
  </conditionalFormatting>
  <conditionalFormatting sqref="H2:H19">
    <cfRule type="expression" priority="3" aboveAverage="0" equalAverage="0" bottom="0" percent="0" rank="0" text="" dxfId="2">
      <formula>IF(H2&lt;&gt;G2,TRUE())</formula>
    </cfRule>
  </conditionalFormatting>
  <conditionalFormatting sqref="I11:AC15 AE11:BF12 I19:BF19 AL16:BF16 AL17:AM17 AO17:BF17 I2:BF10 AD13:BF14 AE15:BF15 I16:AE16 AG16:AJ16 I17:AG17 I18:AJ18 AI17:AJ17 AL18:BF18">
    <cfRule type="cellIs" priority="4" operator="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1169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2021-11-08T08:45:00Z</dcterms:created>
  <dc:creator>Sebastian Meisel</dc:creator>
  <dc:description/>
  <dc:language>de-DE</dc:language>
  <cp:lastModifiedBy>Sebastian Meisel</cp:lastModifiedBy>
  <dcterms:modified xsi:type="dcterms:W3CDTF">2022-03-10T13:30:52Z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