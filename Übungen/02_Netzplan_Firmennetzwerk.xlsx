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tzplan" sheetId="1" state="visible" r:id="rId2"/>
  </sheets>
  <definedNames>
    <definedName function="false" hidden="false" localSheetId="0" name="_xlnm.Print_Area" vbProcedure="false">Netzplan!$A$1:$X$32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<sst xmlns="http://schemas.openxmlformats.org/spreadsheetml/2006/main" count="62" uniqueCount="32">
  <si>
    <t xml:space="preserve">ID</t>
  </si>
  <si>
    <t xml:space="preserve">Vorgang</t>
  </si>
  <si>
    <t xml:space="preserve">Vorgänger</t>
  </si>
  <si>
    <t xml:space="preserve">Nachfolger</t>
  </si>
  <si>
    <t xml:space="preserve">D</t>
  </si>
  <si>
    <t xml:space="preserve">Projektstart</t>
  </si>
  <si>
    <t xml:space="preserve">A</t>
  </si>
  <si>
    <t xml:space="preserve">Hardware installieren</t>
  </si>
  <si>
    <t xml:space="preserve">B</t>
  </si>
  <si>
    <t xml:space="preserve">C</t>
  </si>
  <si>
    <t xml:space="preserve">Switches konfiguren</t>
  </si>
  <si>
    <t xml:space="preserve">E</t>
  </si>
  <si>
    <t xml:space="preserve">Clients einrichten</t>
  </si>
  <si>
    <t xml:space="preserve">Domaincontroller einrichten</t>
  </si>
  <si>
    <t xml:space="preserve">Netzwerkinfrastruktur</t>
  </si>
  <si>
    <t xml:space="preserve">Clients in Domain einbinden</t>
  </si>
  <si>
    <t xml:space="preserve">F</t>
  </si>
  <si>
    <t xml:space="preserve">Test / Übergabe</t>
  </si>
  <si>
    <t xml:space="preserve">FAZ</t>
  </si>
  <si>
    <t xml:space="preserve">FEZ</t>
  </si>
  <si>
    <t xml:space="preserve">Kritischer Pfad</t>
  </si>
  <si>
    <t xml:space="preserve">GP</t>
  </si>
  <si>
    <t xml:space="preserve">FP</t>
  </si>
  <si>
    <t xml:space="preserve">SAZ</t>
  </si>
  <si>
    <t xml:space="preserve">SEZ</t>
  </si>
  <si>
    <t xml:space="preserve"> Frühester Anfangszeitpunkt</t>
  </si>
  <si>
    <t xml:space="preserve">Spätester Anfangszeitpunkt</t>
  </si>
  <si>
    <t xml:space="preserve">Frühester Endzeitpunkt</t>
  </si>
  <si>
    <t xml:space="preserve">Spätester Endzeitpunkt</t>
  </si>
  <si>
    <t xml:space="preserve">Dauer</t>
  </si>
  <si>
    <t xml:space="preserve">Gesamter Puffer (SAZ–FAZ=SEZ–FEZ )</t>
  </si>
  <si>
    <t xml:space="preserve">Freier Puffer (FAZ-Nachfolger – FEZ)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</si>
</sst>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Alegreya Sans"/>
      <family val="3"/>
      <charset val="1"/>
    </font>
    <font>
      <sz val="10"/>
      <name val="Alegreya Sans"/>
      <family val="3"/>
      <charset val="1"/>
    </font>
    <font>
      <b val="true"/>
      <sz val="10"/>
      <name val="Alegreya Sans"/>
      <family val="3"/>
      <charset val="1"/>
    </font>
    <font>
      <b val="true"/>
      <sz val="10"/>
      <color rgb="FFC9211E"/>
      <name val="Alegreya Sans"/>
      <family val="3"/>
      <charset val="1"/>
    </font>
    <font>
      <b val="true"/>
      <sz val="9"/>
      <name val="Alegreya Sans"/>
      <family val="3"/>
      <charset val="1"/>
    </font>
    <font>
      <sz val="10"/>
      <color rgb="FFC9211E"/>
      <name val="Alegreya Sans"/>
      <family val="3"/>
      <charset val="1"/>
    </font>
    <font>
      <sz val="9"/>
      <name val="Alegreya Sans"/>
      <family val="3"/>
      <charset val="1"/>
    </font>
  </fonts>
  <fills count="10">
    <fill>
      <patternFill patternType="none"/>
    </fill>
    <fill>
      <patternFill patternType="gray125"/>
    </fill>
    <fill>
      <patternFill patternType="solid">
        <fgColor rgb="FFAADCF7"/>
        <bgColor rgb="FFDDDDDD"/>
      </patternFill>
    </fill>
    <fill>
      <patternFill patternType="solid">
        <fgColor rgb="FF729FCF"/>
        <bgColor rgb="FF999999"/>
      </patternFill>
    </fill>
    <fill>
      <patternFill patternType="solid">
        <fgColor rgb="FF999999"/>
        <bgColor rgb="FFB2B2B2"/>
      </patternFill>
    </fill>
    <fill>
      <patternFill patternType="solid">
        <fgColor rgb="FFFF0000"/>
        <bgColor rgb="FFC9211E"/>
      </patternFill>
    </fill>
    <fill>
      <patternFill patternType="solid">
        <fgColor rgb="FFFF8000"/>
        <bgColor rgb="FFFF6600"/>
      </patternFill>
    </fill>
    <fill>
      <patternFill patternType="solid">
        <fgColor rgb="FFB2B2B2"/>
        <bgColor rgb="FF999999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FF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ck"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false">
      <alignment horizontal="general" vertical="bottom" textRotation="75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75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5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general" vertical="bottom" textRotation="75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75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75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8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9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9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P" xfId="20"/>
  </cellStyles>
  <dxfs count="1">
    <dxf>
      <font>
        <name val="Arial"/>
        <charset val="1"/>
        <family val="2"/>
      </font>
      <fill>
        <patternFill>
          <bgColor rgb="FFDDDD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ADCF7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99999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18360</xdr:colOff>
      <xdr:row>0</xdr:row>
      <xdr:rowOff>505440</xdr:rowOff>
    </xdr:from>
    <xdr:to>
      <xdr:col>17</xdr:col>
      <xdr:colOff>123120</xdr:colOff>
      <xdr:row>1</xdr:row>
      <xdr:rowOff>139320</xdr:rowOff>
    </xdr:to>
    <xdr:sp>
      <xdr:nvSpPr>
        <xdr:cNvPr id="0" name=""/>
        <xdr:cNvSpPr/>
      </xdr:nvSpPr>
      <xdr:spPr>
        <a:xfrm>
          <a:off x="4617000" y="505440"/>
          <a:ext cx="104760" cy="144720"/>
        </a:xfrm>
        <a:custGeom>
          <a:avLst/>
          <a:gdLst/>
          <a:ahLst/>
          <a:rect l="l" t="t" r="r" b="b"/>
          <a:pathLst>
            <a:path w="21600" h="21600">
              <a:moveTo>
                <a:pt x="10800" y="0"/>
              </a:moveTo>
              <a:lnTo>
                <a:pt x="21600" y="10800"/>
              </a:lnTo>
              <a:lnTo>
                <a:pt x="10800" y="21600"/>
              </a:lnTo>
              <a:lnTo>
                <a:pt x="0" y="10800"/>
              </a:lnTo>
              <a:lnTo>
                <a:pt x="10800" y="0"/>
              </a:lnTo>
              <a:close/>
            </a:path>
          </a:pathLst>
        </a:cu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54000</xdr:colOff>
      <xdr:row>6</xdr:row>
      <xdr:rowOff>8280</xdr:rowOff>
    </xdr:from>
    <xdr:to>
      <xdr:col>35</xdr:col>
      <xdr:colOff>158760</xdr:colOff>
      <xdr:row>6</xdr:row>
      <xdr:rowOff>153000</xdr:rowOff>
    </xdr:to>
    <xdr:sp>
      <xdr:nvSpPr>
        <xdr:cNvPr id="1" name=""/>
        <xdr:cNvSpPr/>
      </xdr:nvSpPr>
      <xdr:spPr>
        <a:xfrm>
          <a:off x="9531720" y="1362600"/>
          <a:ext cx="104760" cy="144720"/>
        </a:xfrm>
        <a:custGeom>
          <a:avLst/>
          <a:gdLst/>
          <a:ahLst/>
          <a:rect l="l" t="t" r="r" b="b"/>
          <a:pathLst>
            <a:path w="21600" h="21600">
              <a:moveTo>
                <a:pt x="10800" y="0"/>
              </a:moveTo>
              <a:lnTo>
                <a:pt x="21600" y="10800"/>
              </a:lnTo>
              <a:lnTo>
                <a:pt x="10800" y="21600"/>
              </a:lnTo>
              <a:lnTo>
                <a:pt x="0" y="10800"/>
              </a:lnTo>
              <a:lnTo>
                <a:pt x="10800" y="0"/>
              </a:lnTo>
              <a:close/>
            </a:path>
          </a:pathLst>
        </a:cu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38</xdr:col>
      <xdr:colOff>35280</xdr:colOff>
      <xdr:row>7</xdr:row>
      <xdr:rowOff>169560</xdr:rowOff>
    </xdr:from>
    <xdr:to>
      <xdr:col>38</xdr:col>
      <xdr:colOff>140040</xdr:colOff>
      <xdr:row>8</xdr:row>
      <xdr:rowOff>144360</xdr:rowOff>
    </xdr:to>
    <xdr:sp>
      <xdr:nvSpPr>
        <xdr:cNvPr id="2" name=""/>
        <xdr:cNvSpPr/>
      </xdr:nvSpPr>
      <xdr:spPr>
        <a:xfrm>
          <a:off x="10324800" y="1694160"/>
          <a:ext cx="104760" cy="144720"/>
        </a:xfrm>
        <a:custGeom>
          <a:avLst/>
          <a:gdLst/>
          <a:ahLst/>
          <a:rect l="l" t="t" r="r" b="b"/>
          <a:pathLst>
            <a:path w="21600" h="21600">
              <a:moveTo>
                <a:pt x="10800" y="0"/>
              </a:moveTo>
              <a:lnTo>
                <a:pt x="21600" y="10800"/>
              </a:lnTo>
              <a:lnTo>
                <a:pt x="10800" y="21600"/>
              </a:lnTo>
              <a:lnTo>
                <a:pt x="0" y="10800"/>
              </a:lnTo>
              <a:lnTo>
                <a:pt x="10800" y="0"/>
              </a:lnTo>
              <a:close/>
            </a:path>
          </a:pathLst>
        </a:cu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N5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O11" activeCellId="0" sqref="AO11"/>
    </sheetView>
  </sheetViews>
  <sheetFormatPr defaultColWidth="11.66796875" defaultRowHeight="12.8" zeroHeight="false" outlineLevelRow="0" outlineLevelCol="0"/>
  <cols>
    <col collapsed="false" customWidth="true" hidden="false" outlineLevel="0" max="1" min="1" style="1" width="3.83"/>
    <col collapsed="false" customWidth="true" hidden="false" outlineLevel="0" max="16" min="2" style="2" width="3.83"/>
    <col collapsed="false" customWidth="true" hidden="false" outlineLevel="0" max="17" min="17" style="3" width="3.83"/>
    <col collapsed="false" customWidth="true" hidden="false" outlineLevel="0" max="18" min="18" style="2" width="3.98"/>
    <col collapsed="false" customWidth="true" hidden="false" outlineLevel="0" max="19" min="19" style="2" width="3.83"/>
    <col collapsed="false" customWidth="true" hidden="false" outlineLevel="0" max="35" min="20" style="4" width="3.83"/>
    <col collapsed="false" customWidth="true" hidden="false" outlineLevel="0" max="64" min="36" style="2" width="3.83"/>
  </cols>
  <sheetData>
    <row r="1" customFormat="false" ht="40.25" hidden="false" customHeight="false" outlineLevel="0" collapsed="false">
      <c r="A1" s="5" t="s">
        <v>0</v>
      </c>
      <c r="B1" s="6" t="s">
        <v>1</v>
      </c>
      <c r="C1" s="6"/>
      <c r="D1" s="6"/>
      <c r="E1" s="6"/>
      <c r="F1" s="6"/>
      <c r="G1" s="6"/>
      <c r="H1" s="6"/>
      <c r="I1" s="6" t="s">
        <v>2</v>
      </c>
      <c r="J1" s="6"/>
      <c r="K1" s="6"/>
      <c r="L1" s="6"/>
      <c r="M1" s="6" t="s">
        <v>3</v>
      </c>
      <c r="N1" s="6"/>
      <c r="O1" s="6"/>
      <c r="P1" s="6"/>
      <c r="Q1" s="7" t="s">
        <v>4</v>
      </c>
      <c r="R1" s="8" t="n">
        <v>44606</v>
      </c>
      <c r="S1" s="8" t="n">
        <v>44607</v>
      </c>
      <c r="T1" s="8" t="n">
        <v>44608</v>
      </c>
      <c r="U1" s="8" t="n">
        <v>44609</v>
      </c>
      <c r="V1" s="8" t="n">
        <v>44610</v>
      </c>
      <c r="W1" s="8" t="n">
        <v>44611</v>
      </c>
      <c r="X1" s="8" t="n">
        <v>44612</v>
      </c>
      <c r="Y1" s="8" t="n">
        <v>44613</v>
      </c>
      <c r="Z1" s="8" t="n">
        <v>44614</v>
      </c>
      <c r="AA1" s="8" t="n">
        <v>44615</v>
      </c>
      <c r="AB1" s="8" t="n">
        <v>44616</v>
      </c>
      <c r="AC1" s="8" t="n">
        <v>44617</v>
      </c>
      <c r="AD1" s="8" t="n">
        <v>44618</v>
      </c>
      <c r="AE1" s="8" t="n">
        <v>44619</v>
      </c>
      <c r="AF1" s="8" t="n">
        <v>44620</v>
      </c>
      <c r="AG1" s="8" t="n">
        <v>44621</v>
      </c>
      <c r="AH1" s="8" t="n">
        <v>44622</v>
      </c>
      <c r="AI1" s="8" t="n">
        <v>44623</v>
      </c>
      <c r="AJ1" s="8" t="n">
        <v>44624</v>
      </c>
      <c r="AK1" s="8" t="n">
        <v>44625</v>
      </c>
      <c r="AL1" s="8" t="n">
        <v>44626</v>
      </c>
      <c r="AM1" s="8" t="n">
        <v>44627</v>
      </c>
      <c r="AN1" s="8" t="n">
        <v>44628</v>
      </c>
      <c r="AO1" s="8" t="n">
        <v>44629</v>
      </c>
      <c r="AP1" s="8" t="n">
        <v>44630</v>
      </c>
      <c r="AQ1" s="8" t="n">
        <v>44631</v>
      </c>
      <c r="AR1" s="8" t="n">
        <v>44632</v>
      </c>
      <c r="AS1" s="8" t="n">
        <v>44633</v>
      </c>
      <c r="AT1" s="8" t="n">
        <v>44634</v>
      </c>
      <c r="AU1" s="8" t="n">
        <v>44635</v>
      </c>
      <c r="AV1" s="8" t="n">
        <v>44636</v>
      </c>
      <c r="AW1" s="8" t="n">
        <v>44637</v>
      </c>
      <c r="AX1" s="8" t="n">
        <v>44638</v>
      </c>
      <c r="AY1" s="8" t="n">
        <v>44639</v>
      </c>
      <c r="AZ1" s="8" t="n">
        <v>44640</v>
      </c>
      <c r="BA1" s="8" t="n">
        <v>44641</v>
      </c>
      <c r="BB1" s="8" t="n">
        <v>44642</v>
      </c>
      <c r="BC1" s="8" t="n">
        <v>44643</v>
      </c>
      <c r="BD1" s="8" t="n">
        <v>44644</v>
      </c>
      <c r="BE1" s="8" t="n">
        <v>44645</v>
      </c>
      <c r="BF1" s="8" t="n">
        <v>44646</v>
      </c>
      <c r="BG1" s="8" t="n">
        <v>44647</v>
      </c>
      <c r="BH1" s="8" t="n">
        <v>44648</v>
      </c>
      <c r="BI1" s="8" t="n">
        <v>44649</v>
      </c>
      <c r="BJ1" s="8" t="n">
        <v>44650</v>
      </c>
      <c r="BK1" s="8" t="n">
        <v>44651</v>
      </c>
      <c r="BL1" s="8" t="n">
        <v>44652</v>
      </c>
      <c r="BM1" s="9"/>
      <c r="BN1" s="10"/>
    </row>
    <row r="2" s="15" customFormat="true" ht="12.8" hidden="false" customHeight="false" outlineLevel="0" collapsed="false">
      <c r="A2" s="11" t="s">
        <v>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3"/>
      <c r="BN2" s="14"/>
    </row>
    <row r="3" customFormat="false" ht="13.4" hidden="false" customHeight="true" outlineLevel="0" collapsed="false">
      <c r="A3" s="16" t="s">
        <v>6</v>
      </c>
      <c r="B3" s="17" t="s">
        <v>7</v>
      </c>
      <c r="C3" s="17"/>
      <c r="D3" s="17"/>
      <c r="E3" s="17"/>
      <c r="F3" s="17"/>
      <c r="G3" s="17"/>
      <c r="H3" s="17"/>
      <c r="I3" s="18"/>
      <c r="J3" s="19"/>
      <c r="K3" s="19"/>
      <c r="L3" s="20"/>
      <c r="M3" s="21" t="s">
        <v>8</v>
      </c>
      <c r="N3" s="22" t="s">
        <v>9</v>
      </c>
      <c r="O3" s="22" t="s">
        <v>4</v>
      </c>
      <c r="P3" s="23"/>
      <c r="Q3" s="23" t="n">
        <v>7</v>
      </c>
      <c r="R3" s="24"/>
      <c r="S3" s="25"/>
      <c r="T3" s="26"/>
      <c r="U3" s="26"/>
      <c r="V3" s="26"/>
      <c r="W3" s="27"/>
      <c r="X3" s="27"/>
      <c r="Y3" s="26"/>
      <c r="Z3" s="26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</row>
    <row r="4" customFormat="false" ht="13.4" hidden="false" customHeight="true" outlineLevel="0" collapsed="false">
      <c r="A4" s="29" t="s">
        <v>8</v>
      </c>
      <c r="B4" s="30" t="s">
        <v>10</v>
      </c>
      <c r="C4" s="30"/>
      <c r="D4" s="30"/>
      <c r="E4" s="30"/>
      <c r="F4" s="30"/>
      <c r="G4" s="30"/>
      <c r="H4" s="30"/>
      <c r="I4" s="31" t="s">
        <v>6</v>
      </c>
      <c r="J4" s="1"/>
      <c r="K4" s="1"/>
      <c r="L4" s="32"/>
      <c r="M4" s="31" t="s">
        <v>11</v>
      </c>
      <c r="N4" s="1"/>
      <c r="O4" s="1"/>
      <c r="P4" s="32"/>
      <c r="Q4" s="32" t="n">
        <v>3</v>
      </c>
      <c r="R4" s="27"/>
      <c r="S4" s="28"/>
      <c r="T4" s="33"/>
      <c r="U4" s="33"/>
      <c r="V4" s="33"/>
      <c r="W4" s="27"/>
      <c r="X4" s="27"/>
      <c r="Y4" s="27"/>
      <c r="Z4" s="27"/>
      <c r="AA4" s="34"/>
      <c r="AB4" s="34"/>
      <c r="AC4" s="34"/>
      <c r="AD4" s="27"/>
      <c r="AE4" s="27"/>
      <c r="AF4" s="27"/>
      <c r="AG4" s="27"/>
      <c r="AH4" s="27"/>
      <c r="AI4" s="27"/>
      <c r="AJ4" s="27"/>
      <c r="AK4" s="27"/>
      <c r="AL4" s="27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</row>
    <row r="5" customFormat="false" ht="13.4" hidden="false" customHeight="true" outlineLevel="0" collapsed="false">
      <c r="A5" s="29" t="s">
        <v>9</v>
      </c>
      <c r="B5" s="30" t="s">
        <v>12</v>
      </c>
      <c r="C5" s="30"/>
      <c r="D5" s="30"/>
      <c r="E5" s="30"/>
      <c r="F5" s="30"/>
      <c r="G5" s="30"/>
      <c r="H5" s="30"/>
      <c r="I5" s="31" t="s">
        <v>6</v>
      </c>
      <c r="J5" s="1"/>
      <c r="K5" s="1"/>
      <c r="L5" s="32"/>
      <c r="M5" s="31" t="s">
        <v>11</v>
      </c>
      <c r="N5" s="1"/>
      <c r="O5" s="1"/>
      <c r="P5" s="32"/>
      <c r="Q5" s="32" t="n">
        <v>6</v>
      </c>
      <c r="R5" s="27"/>
      <c r="S5" s="28"/>
      <c r="T5" s="33"/>
      <c r="U5" s="33"/>
      <c r="V5" s="33"/>
      <c r="W5" s="27"/>
      <c r="X5" s="27"/>
      <c r="Y5" s="27"/>
      <c r="Z5" s="27"/>
      <c r="AA5" s="26"/>
      <c r="AB5" s="26"/>
      <c r="AC5" s="26"/>
      <c r="AD5" s="27"/>
      <c r="AE5" s="27"/>
      <c r="AF5" s="26"/>
      <c r="AG5" s="26"/>
      <c r="AH5" s="26"/>
      <c r="AI5" s="27"/>
      <c r="AJ5" s="27"/>
      <c r="AK5" s="27"/>
      <c r="AL5" s="27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</row>
    <row r="6" customFormat="false" ht="13.4" hidden="false" customHeight="true" outlineLevel="0" collapsed="false">
      <c r="A6" s="29" t="s">
        <v>4</v>
      </c>
      <c r="B6" s="30" t="s">
        <v>13</v>
      </c>
      <c r="C6" s="30"/>
      <c r="D6" s="30"/>
      <c r="E6" s="30"/>
      <c r="F6" s="30"/>
      <c r="G6" s="30"/>
      <c r="H6" s="30"/>
      <c r="I6" s="31" t="s">
        <v>6</v>
      </c>
      <c r="J6" s="1"/>
      <c r="K6" s="1"/>
      <c r="L6" s="32"/>
      <c r="M6" s="31" t="s">
        <v>11</v>
      </c>
      <c r="N6" s="1"/>
      <c r="O6" s="1"/>
      <c r="P6" s="32"/>
      <c r="Q6" s="32" t="n">
        <v>3</v>
      </c>
      <c r="R6" s="27"/>
      <c r="S6" s="28"/>
      <c r="T6" s="33"/>
      <c r="U6" s="33"/>
      <c r="V6" s="33"/>
      <c r="W6" s="27"/>
      <c r="X6" s="27"/>
      <c r="Y6" s="27"/>
      <c r="Z6" s="27"/>
      <c r="AA6" s="34"/>
      <c r="AB6" s="34"/>
      <c r="AC6" s="34"/>
      <c r="AD6" s="27"/>
      <c r="AE6" s="27"/>
      <c r="AF6" s="27"/>
      <c r="AG6" s="27"/>
      <c r="AH6" s="27"/>
      <c r="AI6" s="27"/>
      <c r="AJ6" s="27"/>
      <c r="AK6" s="27"/>
      <c r="AL6" s="27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</row>
    <row r="7" customFormat="false" ht="13.4" hidden="false" customHeight="true" outlineLevel="0" collapsed="false">
      <c r="A7" s="29" t="s">
        <v>14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7"/>
      <c r="S7" s="28"/>
      <c r="T7" s="33"/>
      <c r="U7" s="33"/>
      <c r="V7" s="33"/>
      <c r="W7" s="27"/>
      <c r="X7" s="27"/>
      <c r="Y7" s="27"/>
      <c r="Z7" s="35"/>
      <c r="AA7" s="36"/>
      <c r="AB7" s="36"/>
      <c r="AC7" s="36"/>
      <c r="AD7" s="27"/>
      <c r="AE7" s="27"/>
      <c r="AF7" s="27"/>
      <c r="AG7" s="27"/>
      <c r="AH7" s="27"/>
      <c r="AI7" s="27"/>
      <c r="AJ7" s="27"/>
      <c r="AK7" s="27"/>
      <c r="AL7" s="27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</row>
    <row r="8" customFormat="false" ht="13.4" hidden="false" customHeight="true" outlineLevel="0" collapsed="false">
      <c r="A8" s="29" t="s">
        <v>11</v>
      </c>
      <c r="B8" s="30" t="s">
        <v>15</v>
      </c>
      <c r="C8" s="30"/>
      <c r="D8" s="30"/>
      <c r="E8" s="30"/>
      <c r="F8" s="30"/>
      <c r="G8" s="30"/>
      <c r="H8" s="30"/>
      <c r="I8" s="31" t="s">
        <v>8</v>
      </c>
      <c r="J8" s="1" t="s">
        <v>9</v>
      </c>
      <c r="K8" s="1" t="s">
        <v>4</v>
      </c>
      <c r="L8" s="32"/>
      <c r="M8" s="31" t="s">
        <v>16</v>
      </c>
      <c r="N8" s="1"/>
      <c r="O8" s="1"/>
      <c r="P8" s="32"/>
      <c r="Q8" s="32" t="n">
        <v>1</v>
      </c>
      <c r="R8" s="27"/>
      <c r="S8" s="28"/>
      <c r="T8" s="33"/>
      <c r="U8" s="33"/>
      <c r="V8" s="33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0"/>
      <c r="AJ8" s="24"/>
      <c r="AK8" s="27"/>
      <c r="AL8" s="27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</row>
    <row r="9" customFormat="false" ht="13.4" hidden="false" customHeight="true" outlineLevel="0" collapsed="false">
      <c r="A9" s="37" t="s">
        <v>16</v>
      </c>
      <c r="B9" s="38" t="s">
        <v>17</v>
      </c>
      <c r="C9" s="38"/>
      <c r="D9" s="38"/>
      <c r="E9" s="38"/>
      <c r="F9" s="38"/>
      <c r="G9" s="38"/>
      <c r="H9" s="38"/>
      <c r="I9" s="39" t="s">
        <v>11</v>
      </c>
      <c r="J9" s="40"/>
      <c r="K9" s="40"/>
      <c r="L9" s="41"/>
      <c r="M9" s="42"/>
      <c r="N9" s="43"/>
      <c r="O9" s="43"/>
      <c r="P9" s="44"/>
      <c r="Q9" s="41" t="n">
        <v>1</v>
      </c>
      <c r="R9" s="45"/>
      <c r="S9" s="46"/>
      <c r="T9" s="47"/>
      <c r="U9" s="47"/>
      <c r="V9" s="47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0"/>
      <c r="AK9" s="45"/>
      <c r="AL9" s="45"/>
      <c r="AM9" s="48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</row>
    <row r="10" customFormat="false" ht="12.8" hidden="false" customHeight="false" outlineLevel="0" collapsed="false">
      <c r="B10" s="49"/>
      <c r="H10" s="49"/>
      <c r="I10" s="50"/>
      <c r="J10" s="3"/>
      <c r="K10" s="3"/>
      <c r="L10" s="50"/>
      <c r="M10" s="50"/>
      <c r="N10" s="3"/>
      <c r="O10" s="3"/>
      <c r="P10" s="50"/>
      <c r="Q10" s="50"/>
      <c r="T10" s="2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</row>
    <row r="11" customFormat="false" ht="12.8" hidden="false" customHeight="false" outlineLevel="0" collapsed="false">
      <c r="B11" s="49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</row>
    <row r="12" customFormat="false" ht="12.8" hidden="false" customHeight="false" outlineLevel="0" collapsed="false"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</row>
    <row r="13" customFormat="false" ht="12.8" hidden="false" customHeight="false" outlineLevel="0" collapsed="false">
      <c r="A13" s="51" t="n">
        <v>0</v>
      </c>
      <c r="B13" s="52"/>
      <c r="C13" s="53" t="n">
        <f aca="false">A13+A15</f>
        <v>7</v>
      </c>
      <c r="D13" s="0"/>
      <c r="E13" s="0"/>
      <c r="F13" s="51" t="n">
        <f aca="false">C13</f>
        <v>7</v>
      </c>
      <c r="G13" s="52"/>
      <c r="H13" s="53" t="n">
        <f aca="false">F13+F15</f>
        <v>10</v>
      </c>
      <c r="I13" s="0"/>
      <c r="J13" s="0"/>
      <c r="K13" s="51" t="n">
        <f aca="false">MAX(H13,H19,H25)</f>
        <v>13</v>
      </c>
      <c r="L13" s="52"/>
      <c r="M13" s="53" t="n">
        <f aca="false">K13+K15</f>
        <v>14</v>
      </c>
      <c r="N13" s="0"/>
      <c r="O13" s="0"/>
      <c r="P13" s="51" t="n">
        <f aca="false">M13</f>
        <v>14</v>
      </c>
      <c r="Q13" s="52"/>
      <c r="R13" s="53" t="n">
        <f aca="false">P13+P15</f>
        <v>15</v>
      </c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</row>
    <row r="14" customFormat="false" ht="12.8" hidden="false" customHeight="false" outlineLevel="0" collapsed="false">
      <c r="A14" s="54" t="s">
        <v>6</v>
      </c>
      <c r="B14" s="54"/>
      <c r="C14" s="54"/>
      <c r="D14" s="0"/>
      <c r="E14" s="0"/>
      <c r="F14" s="54" t="s">
        <v>8</v>
      </c>
      <c r="G14" s="54"/>
      <c r="H14" s="54"/>
      <c r="I14" s="0"/>
      <c r="J14" s="0"/>
      <c r="K14" s="54" t="s">
        <v>11</v>
      </c>
      <c r="L14" s="54"/>
      <c r="M14" s="54"/>
      <c r="N14" s="0"/>
      <c r="O14" s="0"/>
      <c r="P14" s="54" t="s">
        <v>16</v>
      </c>
      <c r="Q14" s="54"/>
      <c r="R14" s="54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</row>
    <row r="15" customFormat="false" ht="13.5" hidden="false" customHeight="false" outlineLevel="0" collapsed="false">
      <c r="A15" s="55" t="n">
        <v>7</v>
      </c>
      <c r="B15" s="56" t="n">
        <f aca="false">C16-C13</f>
        <v>0</v>
      </c>
      <c r="C15" s="57"/>
      <c r="D15" s="58"/>
      <c r="E15" s="59"/>
      <c r="F15" s="55" t="n">
        <f aca="false">Q4</f>
        <v>3</v>
      </c>
      <c r="G15" s="60" t="n">
        <f aca="false">H16-H13</f>
        <v>3</v>
      </c>
      <c r="H15" s="57"/>
      <c r="I15" s="59"/>
      <c r="J15" s="61"/>
      <c r="K15" s="55" t="n">
        <f aca="false">Q8</f>
        <v>1</v>
      </c>
      <c r="L15" s="56" t="n">
        <f aca="false">M16-M13</f>
        <v>0</v>
      </c>
      <c r="M15" s="57"/>
      <c r="N15" s="59"/>
      <c r="O15" s="59"/>
      <c r="P15" s="55" t="n">
        <f aca="false">Q9</f>
        <v>1</v>
      </c>
      <c r="Q15" s="56" t="n">
        <f aca="false">R16-R13</f>
        <v>0</v>
      </c>
      <c r="R15" s="57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</row>
    <row r="16" customFormat="false" ht="12.8" hidden="false" customHeight="false" outlineLevel="0" collapsed="false">
      <c r="A16" s="62" t="n">
        <f aca="false">C16-A15</f>
        <v>0</v>
      </c>
      <c r="B16" s="49"/>
      <c r="C16" s="63" t="n">
        <f aca="false">MIN(F28,F22,F16)</f>
        <v>7</v>
      </c>
      <c r="D16" s="64"/>
      <c r="E16" s="0"/>
      <c r="F16" s="62" t="n">
        <f aca="false">H16-F15</f>
        <v>10</v>
      </c>
      <c r="G16" s="49"/>
      <c r="H16" s="63" t="n">
        <f aca="false">K16</f>
        <v>13</v>
      </c>
      <c r="I16" s="0"/>
      <c r="J16" s="65"/>
      <c r="K16" s="62" t="n">
        <f aca="false">M16-K15</f>
        <v>13</v>
      </c>
      <c r="L16" s="49"/>
      <c r="M16" s="63" t="n">
        <f aca="false">P16</f>
        <v>14</v>
      </c>
      <c r="N16" s="0"/>
      <c r="O16" s="0"/>
      <c r="P16" s="62" t="n">
        <f aca="false">R16-P15</f>
        <v>14</v>
      </c>
      <c r="Q16" s="49"/>
      <c r="R16" s="63" t="n">
        <f aca="false">R13</f>
        <v>15</v>
      </c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</row>
    <row r="17" customFormat="false" ht="12.8" hidden="false" customHeight="false" outlineLevel="0" collapsed="false">
      <c r="D17" s="64"/>
      <c r="E17" s="0"/>
      <c r="F17" s="0"/>
      <c r="G17" s="0"/>
      <c r="H17" s="0"/>
      <c r="I17" s="0"/>
      <c r="J17" s="65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</row>
    <row r="18" customFormat="false" ht="12.8" hidden="false" customHeight="false" outlineLevel="0" collapsed="false">
      <c r="D18" s="64"/>
      <c r="E18" s="0"/>
      <c r="F18" s="0"/>
      <c r="G18" s="0"/>
      <c r="H18" s="0"/>
      <c r="I18" s="0"/>
      <c r="J18" s="65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</row>
    <row r="19" customFormat="false" ht="12.8" hidden="false" customHeight="false" outlineLevel="0" collapsed="false">
      <c r="D19" s="64"/>
      <c r="E19" s="0"/>
      <c r="F19" s="51" t="n">
        <f aca="false">C13</f>
        <v>7</v>
      </c>
      <c r="G19" s="52"/>
      <c r="H19" s="53" t="n">
        <f aca="false">F19+F21</f>
        <v>13</v>
      </c>
      <c r="I19" s="0"/>
      <c r="J19" s="65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</row>
    <row r="20" customFormat="false" ht="12.8" hidden="false" customHeight="false" outlineLevel="0" collapsed="false">
      <c r="D20" s="64"/>
      <c r="E20" s="0"/>
      <c r="F20" s="54" t="s">
        <v>9</v>
      </c>
      <c r="G20" s="54"/>
      <c r="H20" s="54"/>
      <c r="I20" s="0"/>
      <c r="J20" s="65"/>
      <c r="K20" s="0"/>
      <c r="L20" s="0"/>
      <c r="M20" s="0"/>
      <c r="N20" s="0"/>
      <c r="O20" s="0"/>
      <c r="P20" s="0"/>
      <c r="Q20" s="0"/>
      <c r="R20" s="0"/>
      <c r="S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</row>
    <row r="21" customFormat="false" ht="13.5" hidden="false" customHeight="false" outlineLevel="0" collapsed="false">
      <c r="D21" s="64"/>
      <c r="E21" s="59"/>
      <c r="F21" s="55" t="n">
        <f aca="false">Q5</f>
        <v>6</v>
      </c>
      <c r="G21" s="56" t="n">
        <f aca="false">H22-H19</f>
        <v>0</v>
      </c>
      <c r="H21" s="57"/>
      <c r="I21" s="59"/>
      <c r="J21" s="65"/>
      <c r="K21" s="0"/>
      <c r="L21" s="0"/>
      <c r="M21" s="0"/>
      <c r="N21" s="0"/>
      <c r="O21" s="0"/>
      <c r="P21" s="0"/>
      <c r="Q21" s="0"/>
      <c r="R21" s="0"/>
      <c r="S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</row>
    <row r="22" customFormat="false" ht="12.8" hidden="false" customHeight="false" outlineLevel="0" collapsed="false">
      <c r="D22" s="64"/>
      <c r="E22" s="0"/>
      <c r="F22" s="62" t="n">
        <f aca="false">H22-F21</f>
        <v>7</v>
      </c>
      <c r="G22" s="49"/>
      <c r="H22" s="63" t="n">
        <f aca="false">K16</f>
        <v>13</v>
      </c>
      <c r="I22" s="0"/>
      <c r="J22" s="65"/>
      <c r="K22" s="0"/>
      <c r="L22" s="0"/>
      <c r="M22" s="0"/>
      <c r="N22" s="0"/>
      <c r="O22" s="0"/>
      <c r="P22" s="0"/>
      <c r="Q22" s="0"/>
      <c r="R22" s="0"/>
      <c r="S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</row>
    <row r="23" customFormat="false" ht="12.8" hidden="false" customHeight="false" outlineLevel="0" collapsed="false">
      <c r="A23" s="2"/>
      <c r="D23" s="64"/>
      <c r="E23" s="0"/>
      <c r="F23" s="0"/>
      <c r="G23" s="0"/>
      <c r="H23" s="0"/>
      <c r="I23" s="0"/>
      <c r="J23" s="65"/>
      <c r="K23" s="0"/>
      <c r="L23" s="0"/>
      <c r="M23" s="0"/>
      <c r="N23" s="0"/>
      <c r="O23" s="0"/>
      <c r="P23" s="0"/>
      <c r="Q23" s="0"/>
      <c r="R23" s="0"/>
      <c r="S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</row>
    <row r="24" customFormat="false" ht="12.8" hidden="false" customHeight="false" outlineLevel="0" collapsed="false">
      <c r="A24" s="2"/>
      <c r="D24" s="64"/>
      <c r="E24" s="0"/>
      <c r="F24" s="0"/>
      <c r="G24" s="0"/>
      <c r="H24" s="0"/>
      <c r="I24" s="0"/>
      <c r="J24" s="65"/>
      <c r="K24" s="0"/>
      <c r="L24" s="0"/>
      <c r="M24" s="0"/>
      <c r="N24" s="0"/>
      <c r="O24" s="0"/>
      <c r="P24" s="0"/>
      <c r="Q24" s="0"/>
      <c r="R24" s="0"/>
      <c r="S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</row>
    <row r="25" customFormat="false" ht="12.8" hidden="false" customHeight="false" outlineLevel="0" collapsed="false">
      <c r="A25" s="2"/>
      <c r="D25" s="64"/>
      <c r="E25" s="0"/>
      <c r="F25" s="51" t="n">
        <f aca="false">C13</f>
        <v>7</v>
      </c>
      <c r="G25" s="52"/>
      <c r="H25" s="53" t="n">
        <f aca="false">F25+F27</f>
        <v>10</v>
      </c>
      <c r="I25" s="0"/>
      <c r="J25" s="65"/>
      <c r="K25" s="0"/>
      <c r="L25" s="0"/>
      <c r="M25" s="0"/>
      <c r="N25" s="0"/>
      <c r="O25" s="0"/>
      <c r="P25" s="0"/>
      <c r="Q25" s="0"/>
      <c r="R25" s="0"/>
      <c r="S25" s="0"/>
    </row>
    <row r="26" customFormat="false" ht="12.8" hidden="false" customHeight="false" outlineLevel="0" collapsed="false">
      <c r="A26" s="0"/>
      <c r="B26" s="0"/>
      <c r="C26" s="0"/>
      <c r="D26" s="64"/>
      <c r="E26" s="0"/>
      <c r="F26" s="54" t="s">
        <v>4</v>
      </c>
      <c r="G26" s="54"/>
      <c r="H26" s="54"/>
      <c r="I26" s="0"/>
      <c r="J26" s="65"/>
      <c r="K26" s="0"/>
      <c r="L26" s="0"/>
      <c r="M26" s="0"/>
      <c r="N26" s="0"/>
      <c r="O26" s="0"/>
      <c r="P26" s="0"/>
      <c r="Q26" s="0"/>
      <c r="R26" s="0"/>
      <c r="S26" s="0"/>
    </row>
    <row r="27" customFormat="false" ht="13.5" hidden="false" customHeight="false" outlineLevel="0" collapsed="false">
      <c r="A27" s="0"/>
      <c r="B27" s="0"/>
      <c r="C27" s="0"/>
      <c r="D27" s="0"/>
      <c r="E27" s="59"/>
      <c r="F27" s="55" t="n">
        <f aca="false">Q6</f>
        <v>3</v>
      </c>
      <c r="G27" s="60" t="n">
        <f aca="false">H28-H25</f>
        <v>3</v>
      </c>
      <c r="H27" s="57"/>
      <c r="I27" s="59"/>
      <c r="J27" s="0"/>
      <c r="K27" s="0"/>
      <c r="L27" s="0"/>
      <c r="M27" s="0"/>
      <c r="N27" s="0"/>
      <c r="O27" s="0"/>
      <c r="P27" s="0"/>
      <c r="Q27" s="0"/>
      <c r="R27" s="0"/>
      <c r="S27" s="0"/>
    </row>
    <row r="28" customFormat="false" ht="12.8" hidden="false" customHeight="false" outlineLevel="0" collapsed="false">
      <c r="A28" s="0"/>
      <c r="B28" s="0"/>
      <c r="C28" s="0"/>
      <c r="D28" s="0"/>
      <c r="E28" s="0"/>
      <c r="F28" s="62" t="n">
        <f aca="false">H28-F27</f>
        <v>10</v>
      </c>
      <c r="G28" s="49"/>
      <c r="H28" s="63" t="n">
        <f aca="false">K16</f>
        <v>13</v>
      </c>
      <c r="I28" s="0"/>
      <c r="J28" s="0"/>
      <c r="K28" s="0"/>
      <c r="L28" s="0"/>
    </row>
    <row r="29" customFormat="false" ht="12.8" hidden="false" customHeight="false" outlineLevel="0" collapsed="false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</row>
    <row r="30" customFormat="false" ht="12.8" hidden="false" customHeight="false" outlineLevel="0" collapsed="false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</row>
    <row r="31" customFormat="false" ht="12.8" hidden="false" customHeight="false" outlineLevel="0" collapsed="false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</row>
    <row r="32" customFormat="false" ht="12.8" hidden="false" customHeight="false" outlineLevel="0" collapsed="false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</row>
    <row r="33" customFormat="false" ht="12.8" hidden="false" customHeight="false" outlineLevel="0" collapsed="false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</row>
    <row r="34" customFormat="false" ht="12.8" hidden="false" customHeight="false" outlineLevel="0" collapsed="false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</row>
    <row r="35" customFormat="false" ht="12.8" hidden="false" customHeight="false" outlineLevel="0" collapsed="false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</row>
    <row r="36" customFormat="false" ht="12.8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</row>
    <row r="37" customFormat="false" ht="12.8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</row>
    <row r="38" customFormat="false" ht="12.8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 customFormat="false" ht="12.8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  <row r="40" customFormat="false" ht="12.8" hidden="false" customHeight="false" outlineLevel="0" collapsed="false">
      <c r="A40" s="66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customFormat="false" ht="12.8" hidden="false" customHeight="false" outlineLevel="0" collapsed="false">
      <c r="A41" s="66"/>
      <c r="B41" s="2" t="s">
        <v>18</v>
      </c>
      <c r="D41" s="2" t="s">
        <v>19</v>
      </c>
      <c r="L41" s="67"/>
    </row>
    <row r="42" customFormat="false" ht="12.8" hidden="false" customHeight="false" outlineLevel="0" collapsed="false">
      <c r="A42" s="66"/>
      <c r="B42" s="68" t="s">
        <v>0</v>
      </c>
      <c r="C42" s="68"/>
      <c r="D42" s="68"/>
      <c r="F42" s="69" t="s">
        <v>20</v>
      </c>
      <c r="G42" s="69"/>
      <c r="H42" s="69"/>
      <c r="I42" s="69"/>
      <c r="J42" s="69"/>
      <c r="L42" s="67"/>
    </row>
    <row r="43" customFormat="false" ht="12.8" hidden="false" customHeight="false" outlineLevel="0" collapsed="false">
      <c r="A43" s="66"/>
      <c r="B43" s="70" t="s">
        <v>4</v>
      </c>
      <c r="C43" s="71" t="s">
        <v>21</v>
      </c>
      <c r="D43" s="70" t="s">
        <v>22</v>
      </c>
      <c r="L43" s="67"/>
    </row>
    <row r="44" customFormat="false" ht="12.8" hidden="false" customHeight="false" outlineLevel="0" collapsed="false">
      <c r="A44" s="66"/>
      <c r="B44" s="2" t="s">
        <v>23</v>
      </c>
      <c r="D44" s="2" t="s">
        <v>24</v>
      </c>
      <c r="L44" s="67"/>
    </row>
    <row r="45" customFormat="false" ht="12.8" hidden="false" customHeight="false" outlineLevel="0" collapsed="false">
      <c r="A45" s="66"/>
      <c r="L45" s="67"/>
    </row>
    <row r="46" customFormat="false" ht="12.8" hidden="false" customHeight="false" outlineLevel="0" collapsed="false">
      <c r="A46" s="66"/>
      <c r="B46" s="72" t="s">
        <v>18</v>
      </c>
      <c r="C46" s="49" t="s">
        <v>25</v>
      </c>
      <c r="D46" s="49"/>
      <c r="E46" s="49"/>
      <c r="F46" s="49"/>
      <c r="G46" s="49"/>
      <c r="H46" s="49"/>
      <c r="I46" s="49"/>
      <c r="J46" s="49"/>
      <c r="K46" s="49"/>
      <c r="L46" s="67"/>
    </row>
    <row r="47" customFormat="false" ht="12.8" hidden="false" customHeight="false" outlineLevel="0" collapsed="false">
      <c r="A47" s="66"/>
      <c r="B47" s="72" t="s">
        <v>23</v>
      </c>
      <c r="C47" s="49" t="s">
        <v>26</v>
      </c>
      <c r="D47" s="49"/>
      <c r="E47" s="49"/>
      <c r="F47" s="49"/>
      <c r="G47" s="49"/>
      <c r="H47" s="49"/>
      <c r="I47" s="49"/>
      <c r="J47" s="49"/>
      <c r="K47" s="49"/>
      <c r="L47" s="67"/>
    </row>
    <row r="48" customFormat="false" ht="12.8" hidden="false" customHeight="false" outlineLevel="0" collapsed="false">
      <c r="A48" s="66"/>
      <c r="B48" s="72" t="s">
        <v>19</v>
      </c>
      <c r="C48" s="49" t="s">
        <v>27</v>
      </c>
      <c r="D48" s="49"/>
      <c r="E48" s="49"/>
      <c r="F48" s="49"/>
      <c r="G48" s="49"/>
      <c r="H48" s="49"/>
      <c r="I48" s="49"/>
      <c r="J48" s="49"/>
      <c r="K48" s="49"/>
      <c r="L48" s="67"/>
    </row>
    <row r="49" customFormat="false" ht="12.8" hidden="false" customHeight="false" outlineLevel="0" collapsed="false">
      <c r="A49" s="66"/>
      <c r="B49" s="72" t="s">
        <v>24</v>
      </c>
      <c r="C49" s="49" t="s">
        <v>28</v>
      </c>
      <c r="D49" s="49"/>
      <c r="E49" s="49"/>
      <c r="F49" s="49"/>
      <c r="G49" s="49"/>
      <c r="H49" s="49"/>
      <c r="I49" s="49"/>
      <c r="J49" s="49"/>
      <c r="K49" s="49"/>
      <c r="L49" s="67"/>
    </row>
    <row r="50" customFormat="false" ht="12.8" hidden="false" customHeight="false" outlineLevel="0" collapsed="false">
      <c r="A50" s="66"/>
      <c r="B50" s="70" t="s">
        <v>4</v>
      </c>
      <c r="C50" s="49" t="s">
        <v>29</v>
      </c>
      <c r="D50" s="49"/>
      <c r="E50" s="49"/>
      <c r="F50" s="49"/>
      <c r="G50" s="49"/>
      <c r="H50" s="49"/>
      <c r="I50" s="49"/>
      <c r="J50" s="49"/>
      <c r="K50" s="49"/>
      <c r="L50" s="67"/>
    </row>
    <row r="51" customFormat="false" ht="12.8" hidden="false" customHeight="false" outlineLevel="0" collapsed="false">
      <c r="A51" s="66"/>
      <c r="B51" s="71" t="s">
        <v>21</v>
      </c>
      <c r="C51" s="49" t="s">
        <v>30</v>
      </c>
      <c r="D51" s="49"/>
      <c r="E51" s="49"/>
      <c r="F51" s="49"/>
      <c r="G51" s="49"/>
      <c r="H51" s="49"/>
      <c r="I51" s="49"/>
      <c r="J51" s="49"/>
      <c r="K51" s="49"/>
      <c r="L51" s="67"/>
    </row>
    <row r="52" customFormat="false" ht="12.8" hidden="false" customHeight="false" outlineLevel="0" collapsed="false">
      <c r="A52" s="66"/>
      <c r="B52" s="73" t="s">
        <v>22</v>
      </c>
      <c r="C52" s="67" t="s">
        <v>31</v>
      </c>
      <c r="D52" s="67"/>
      <c r="E52" s="67"/>
      <c r="F52" s="67"/>
      <c r="G52" s="67"/>
      <c r="H52" s="67"/>
      <c r="I52" s="67"/>
      <c r="J52" s="67"/>
      <c r="K52" s="67"/>
      <c r="L52" s="67"/>
    </row>
    <row r="53" customFormat="false" ht="12.8" hidden="false" customHeight="false" outlineLevel="0" collapsed="false">
      <c r="A53" s="66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</row>
  </sheetData>
  <mergeCells count="25">
    <mergeCell ref="B1:H1"/>
    <mergeCell ref="I1:L1"/>
    <mergeCell ref="M1:P1"/>
    <mergeCell ref="A2:Q2"/>
    <mergeCell ref="B3:H3"/>
    <mergeCell ref="B4:H4"/>
    <mergeCell ref="B5:H5"/>
    <mergeCell ref="B6:H6"/>
    <mergeCell ref="A7:Q7"/>
    <mergeCell ref="B8:H8"/>
    <mergeCell ref="B9:H9"/>
    <mergeCell ref="A14:C14"/>
    <mergeCell ref="F14:H14"/>
    <mergeCell ref="K14:M14"/>
    <mergeCell ref="P14:R14"/>
    <mergeCell ref="F20:H20"/>
    <mergeCell ref="F26:H26"/>
    <mergeCell ref="B42:D42"/>
    <mergeCell ref="F42:J42"/>
    <mergeCell ref="C46:K46"/>
    <mergeCell ref="C47:K47"/>
    <mergeCell ref="C48:K48"/>
    <mergeCell ref="C49:K49"/>
    <mergeCell ref="C50:K50"/>
    <mergeCell ref="C51:K51"/>
  </mergeCells>
  <conditionalFormatting sqref="R1:BL7 R8:AH8 AJ8:BL8 R9:AI9 AK9:BL9">
    <cfRule type="expression" priority="2" aboveAverage="0" equalAverage="0" bottom="0" percent="0" rank="0" text="" dxfId="0">
      <formula>IF(WEEKDAY(R$1,2)=6,1,IF(WEEKDAY(R$1,2)=7,1,0))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516</TotalTime>
  <Application>LibreOffice/7.1.7.2$Windows_X86_64 LibreOffice_project/c6a4e3954236145e2acb0b65f68614365aeee33f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2021-11-19T10:44:41Z</dcterms:created>
  <dc:creator>Sebastian Meisel</dc:creator>
  <dc:description/>
  <dc:language>de-DE</dc:language>
  <cp:lastModifiedBy>Sebastian Meisel</cp:lastModifiedBy>
  <dcterms:modified xsi:type="dcterms:W3CDTF">2022-03-14T09:30:27Z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