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Übung1" sheetId="1" state="visible" r:id="rId2"/>
    <sheet name="Tabelle3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<sst xmlns="http://schemas.openxmlformats.org/spreadsheetml/2006/main" count="107" uniqueCount="39">
  <si>
    <t xml:space="preserve">ID</t>
  </si>
  <si>
    <t xml:space="preserve">Vorgänger</t>
  </si>
  <si>
    <t xml:space="preserve">Nachfolger</t>
  </si>
  <si>
    <t xml:space="preserve">Aufwand</t>
  </si>
  <si>
    <t xml:space="preserve">Kapazität</t>
  </si>
  <si>
    <t xml:space="preserve">Dauer</t>
  </si>
  <si>
    <t xml:space="preserve">A</t>
  </si>
  <si>
    <t xml:space="preserve"> </t>
  </si>
  <si>
    <t xml:space="preserve">B</t>
  </si>
  <si>
    <t xml:space="preserve">C</t>
  </si>
  <si>
    <t xml:space="preserve">F</t>
  </si>
  <si>
    <t xml:space="preserve">G</t>
  </si>
  <si>
    <t xml:space="preserve">I</t>
  </si>
  <si>
    <t xml:space="preserve">D</t>
  </si>
  <si>
    <t xml:space="preserve">E</t>
  </si>
  <si>
    <t xml:space="preserve">H</t>
  </si>
  <si>
    <t xml:space="preserve">FAZ</t>
  </si>
  <si>
    <t xml:space="preserve">FEZ</t>
  </si>
  <si>
    <t xml:space="preserve">← Früheste</t>
  </si>
  <si>
    <t xml:space="preserve">← ID</t>
  </si>
  <si>
    <t xml:space="preserve">GP</t>
  </si>
  <si>
    <t xml:space="preserve">FP</t>
  </si>
  <si>
    <t xml:space="preserve">← Dauer &amp; Puffer:</t>
  </si>
  <si>
    <t xml:space="preserve">GP:</t>
  </si>
  <si>
    <t xml:space="preserve">Gesamtpuffer im Projekt</t>
  </si>
  <si>
    <t xml:space="preserve">FP:</t>
  </si>
  <si>
    <t xml:space="preserve">Freier Puffer bis zum nächsten Arbeitspaket</t>
  </si>
  <si>
    <t xml:space="preserve">SAZ</t>
  </si>
  <si>
    <t xml:space="preserve">SEZ</t>
  </si>
  <si>
    <t xml:space="preserve">← Späteste</t>
  </si>
  <si>
    <t xml:space="preserve">Anfangszeit →</t>
  </si>
  <si>
    <t xml:space="preserve">Endzeit →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</si>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</sst>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D7"/>
      </patternFill>
    </fill>
    <fill>
      <patternFill patternType="solid">
        <fgColor rgb="FFFFFFD7"/>
        <bgColor rgb="FFFFFFCC"/>
      </patternFill>
    </fill>
    <fill>
      <patternFill patternType="solid">
        <fgColor rgb="FFFFFFCC"/>
        <bgColor rgb="FFFFFFD7"/>
      </patternFill>
    </fill>
    <fill>
      <patternFill patternType="solid">
        <fgColor rgb="FFCCCCCC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116640</xdr:colOff>
      <xdr:row>50</xdr:row>
      <xdr:rowOff>68400</xdr:rowOff>
    </xdr:from>
    <xdr:to>
      <xdr:col>10</xdr:col>
      <xdr:colOff>266400</xdr:colOff>
      <xdr:row>50</xdr:row>
      <xdr:rowOff>68400</xdr:rowOff>
    </xdr:to>
    <xdr:sp>
      <xdr:nvSpPr>
        <xdr:cNvPr id="0" name=""/>
        <xdr:cNvSpPr/>
      </xdr:nvSpPr>
      <xdr:spPr>
        <a:xfrm>
          <a:off x="1198440" y="8203680"/>
          <a:ext cx="1773000" cy="0"/>
        </a:xfrm>
        <a:prstGeom prst="line">
          <a:avLst/>
        </a:prstGeom>
        <a:ln w="12600">
          <a:solidFill>
            <a:srgbClr val="bf0041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360</xdr:colOff>
      <xdr:row>10</xdr:row>
      <xdr:rowOff>2880</xdr:rowOff>
    </xdr:from>
    <xdr:to>
      <xdr:col>4</xdr:col>
      <xdr:colOff>271080</xdr:colOff>
      <xdr:row>10</xdr:row>
      <xdr:rowOff>2880</xdr:rowOff>
    </xdr:to>
    <xdr:sp>
      <xdr:nvSpPr>
        <xdr:cNvPr id="1" name=""/>
        <xdr:cNvSpPr/>
      </xdr:nvSpPr>
      <xdr:spPr>
        <a:xfrm>
          <a:off x="81180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10</xdr:row>
      <xdr:rowOff>2880</xdr:rowOff>
    </xdr:from>
    <xdr:to>
      <xdr:col>9</xdr:col>
      <xdr:colOff>271080</xdr:colOff>
      <xdr:row>10</xdr:row>
      <xdr:rowOff>2880</xdr:rowOff>
    </xdr:to>
    <xdr:sp>
      <xdr:nvSpPr>
        <xdr:cNvPr id="2" name=""/>
        <xdr:cNvSpPr/>
      </xdr:nvSpPr>
      <xdr:spPr>
        <a:xfrm>
          <a:off x="216432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360</xdr:colOff>
      <xdr:row>10</xdr:row>
      <xdr:rowOff>2880</xdr:rowOff>
    </xdr:from>
    <xdr:to>
      <xdr:col>14</xdr:col>
      <xdr:colOff>271080</xdr:colOff>
      <xdr:row>10</xdr:row>
      <xdr:rowOff>2880</xdr:rowOff>
    </xdr:to>
    <xdr:sp>
      <xdr:nvSpPr>
        <xdr:cNvPr id="3" name=""/>
        <xdr:cNvSpPr/>
      </xdr:nvSpPr>
      <xdr:spPr>
        <a:xfrm>
          <a:off x="351684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264600</xdr:colOff>
      <xdr:row>16</xdr:row>
      <xdr:rowOff>2520</xdr:rowOff>
    </xdr:from>
    <xdr:to>
      <xdr:col>4</xdr:col>
      <xdr:colOff>271080</xdr:colOff>
      <xdr:row>16</xdr:row>
      <xdr:rowOff>2520</xdr:rowOff>
    </xdr:to>
    <xdr:sp>
      <xdr:nvSpPr>
        <xdr:cNvPr id="4" name=""/>
        <xdr:cNvSpPr/>
      </xdr:nvSpPr>
      <xdr:spPr>
        <a:xfrm>
          <a:off x="1076040" y="260316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16</xdr:row>
      <xdr:rowOff>2160</xdr:rowOff>
    </xdr:from>
    <xdr:to>
      <xdr:col>9</xdr:col>
      <xdr:colOff>6840</xdr:colOff>
      <xdr:row>16</xdr:row>
      <xdr:rowOff>2160</xdr:rowOff>
    </xdr:to>
    <xdr:sp>
      <xdr:nvSpPr>
        <xdr:cNvPr id="5" name=""/>
        <xdr:cNvSpPr/>
      </xdr:nvSpPr>
      <xdr:spPr>
        <a:xfrm>
          <a:off x="2164320" y="260280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1080</xdr:colOff>
      <xdr:row>10</xdr:row>
      <xdr:rowOff>1080</xdr:rowOff>
    </xdr:from>
    <xdr:to>
      <xdr:col>4</xdr:col>
      <xdr:colOff>7560</xdr:colOff>
      <xdr:row>16</xdr:row>
      <xdr:rowOff>18000</xdr:rowOff>
    </xdr:to>
    <xdr:sp>
      <xdr:nvSpPr>
        <xdr:cNvPr id="6" name=""/>
        <xdr:cNvSpPr/>
      </xdr:nvSpPr>
      <xdr:spPr>
        <a:xfrm>
          <a:off x="1082880" y="162648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1080</xdr:colOff>
      <xdr:row>10</xdr:row>
      <xdr:rowOff>360</xdr:rowOff>
    </xdr:from>
    <xdr:to>
      <xdr:col>9</xdr:col>
      <xdr:colOff>7560</xdr:colOff>
      <xdr:row>16</xdr:row>
      <xdr:rowOff>17280</xdr:rowOff>
    </xdr:to>
    <xdr:sp>
      <xdr:nvSpPr>
        <xdr:cNvPr id="7" name=""/>
        <xdr:cNvSpPr/>
      </xdr:nvSpPr>
      <xdr:spPr>
        <a:xfrm>
          <a:off x="2435400" y="162576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N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0" ySplit="0" topLeftCell="K1" activePane="topRight" state="frozen"/>
      <selection pane="topLeft" activeCell="A1" activeCellId="0" sqref="A1"/>
      <selection pane="topRight" activeCell="K12" activeCellId="0" sqref="K12"/>
    </sheetView>
  </sheetViews>
  <sheetFormatPr defaultColWidth="11.66015625" defaultRowHeight="12.8" zeroHeight="false" outlineLevelRow="0" outlineLevelCol="0"/>
  <cols>
    <col collapsed="false" customWidth="true" hidden="false" outlineLevel="0" max="7" min="1" style="0" width="3.83"/>
    <col collapsed="false" customWidth="true" hidden="false" outlineLevel="0" max="8" min="8" style="0" width="8.74"/>
    <col collapsed="false" customWidth="true" hidden="false" outlineLevel="0" max="9" min="9" style="1" width="11.52"/>
    <col collapsed="false" customWidth="true" hidden="false" outlineLevel="0" max="10" min="10" style="0" width="11.52"/>
    <col collapsed="false" customWidth="true" hidden="false" outlineLevel="0" max="66" min="11" style="0" width="3.83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/>
      <c r="D1" s="3"/>
      <c r="E1" s="4" t="s">
        <v>2</v>
      </c>
      <c r="F1" s="4"/>
      <c r="G1" s="4"/>
      <c r="H1" s="4" t="s">
        <v>3</v>
      </c>
      <c r="I1" s="5" t="s">
        <v>4</v>
      </c>
      <c r="J1" s="2" t="s">
        <v>5</v>
      </c>
      <c r="K1" s="6"/>
      <c r="L1" s="7" t="n">
        <v>0</v>
      </c>
      <c r="M1" s="6"/>
      <c r="N1" s="8" t="n">
        <f aca="false">L3+L1</f>
        <v>6</v>
      </c>
      <c r="O1" s="6"/>
      <c r="P1" s="6"/>
      <c r="Q1" s="7" t="n">
        <f aca="false">N1</f>
        <v>6</v>
      </c>
      <c r="R1" s="6"/>
      <c r="S1" s="8" t="n">
        <f aca="false">Q3+Q1</f>
        <v>26</v>
      </c>
      <c r="T1" s="6"/>
      <c r="U1" s="6"/>
      <c r="Y1" s="6"/>
      <c r="Z1" s="6"/>
      <c r="AA1" s="7" t="n">
        <f aca="false">S1</f>
        <v>26</v>
      </c>
      <c r="AB1" s="6"/>
      <c r="AC1" s="8" t="n">
        <f aca="false">AA3+AA1</f>
        <v>35</v>
      </c>
      <c r="AD1" s="6"/>
      <c r="AE1" s="6"/>
      <c r="AF1" s="7" t="n">
        <f aca="false">MAX(AC1,AC7)</f>
        <v>38</v>
      </c>
      <c r="AG1" s="6"/>
      <c r="AH1" s="8" t="n">
        <f aca="false">AF3+AF1</f>
        <v>41</v>
      </c>
      <c r="AI1" s="6"/>
      <c r="AJ1" s="6"/>
      <c r="AK1" s="7" t="n">
        <f aca="false">AH1</f>
        <v>41</v>
      </c>
      <c r="AL1" s="6"/>
      <c r="AM1" s="8" t="n">
        <f aca="false">AK3+AK1</f>
        <v>50</v>
      </c>
      <c r="AN1" s="6"/>
    </row>
    <row r="2" customFormat="false" ht="12.8" hidden="false" customHeight="false" outlineLevel="0" collapsed="false">
      <c r="A2" s="9" t="s">
        <v>6</v>
      </c>
      <c r="B2" s="10" t="s">
        <v>7</v>
      </c>
      <c r="C2" s="11" t="s">
        <v>7</v>
      </c>
      <c r="D2" s="12"/>
      <c r="E2" s="11" t="s">
        <v>8</v>
      </c>
      <c r="F2" s="11" t="s">
        <v>9</v>
      </c>
      <c r="G2" s="11"/>
      <c r="H2" s="9" t="n">
        <v>6</v>
      </c>
      <c r="I2" s="13" t="n">
        <v>1</v>
      </c>
      <c r="J2" s="9" t="n">
        <f aca="false">ROUNDUP(H2/I2,0)</f>
        <v>6</v>
      </c>
      <c r="K2" s="6"/>
      <c r="L2" s="14" t="s">
        <v>6</v>
      </c>
      <c r="M2" s="14"/>
      <c r="N2" s="14"/>
      <c r="O2" s="6"/>
      <c r="P2" s="6"/>
      <c r="Q2" s="14" t="s">
        <v>8</v>
      </c>
      <c r="R2" s="14"/>
      <c r="S2" s="14"/>
      <c r="T2" s="6"/>
      <c r="U2" s="6"/>
      <c r="Y2" s="6"/>
      <c r="Z2" s="6"/>
      <c r="AA2" s="14" t="s">
        <v>10</v>
      </c>
      <c r="AB2" s="14"/>
      <c r="AC2" s="14"/>
      <c r="AD2" s="6"/>
      <c r="AE2" s="6"/>
      <c r="AF2" s="14" t="s">
        <v>11</v>
      </c>
      <c r="AG2" s="14"/>
      <c r="AH2" s="14"/>
      <c r="AI2" s="6"/>
      <c r="AJ2" s="6"/>
      <c r="AK2" s="14" t="s">
        <v>12</v>
      </c>
      <c r="AL2" s="14"/>
      <c r="AM2" s="14"/>
      <c r="AN2" s="6"/>
    </row>
    <row r="3" customFormat="false" ht="13.5" hidden="false" customHeight="false" outlineLevel="0" collapsed="false">
      <c r="A3" s="2" t="s">
        <v>8</v>
      </c>
      <c r="B3" s="15" t="s">
        <v>6</v>
      </c>
      <c r="C3" s="16"/>
      <c r="D3" s="17"/>
      <c r="E3" s="16" t="s">
        <v>13</v>
      </c>
      <c r="F3" s="16"/>
      <c r="G3" s="16"/>
      <c r="H3" s="2" t="n">
        <v>7</v>
      </c>
      <c r="I3" s="18" t="n">
        <v>0.35</v>
      </c>
      <c r="J3" s="9" t="n">
        <f aca="false">ROUNDUP(H3/I3,0)</f>
        <v>20</v>
      </c>
      <c r="K3" s="6"/>
      <c r="L3" s="19" t="n">
        <f aca="false">J2</f>
        <v>6</v>
      </c>
      <c r="M3" s="20" t="n">
        <f aca="false">N4-N1</f>
        <v>0</v>
      </c>
      <c r="N3" s="21"/>
      <c r="O3" s="22"/>
      <c r="P3" s="23"/>
      <c r="Q3" s="19" t="n">
        <f aca="false">J3</f>
        <v>20</v>
      </c>
      <c r="R3" s="20" t="n">
        <f aca="false">S4-S1</f>
        <v>3</v>
      </c>
      <c r="S3" s="21"/>
      <c r="T3" s="23"/>
      <c r="U3" s="23"/>
      <c r="V3" s="24"/>
      <c r="W3" s="24"/>
      <c r="X3" s="24"/>
      <c r="Y3" s="23"/>
      <c r="Z3" s="23"/>
      <c r="AA3" s="19" t="n">
        <f aca="false">J7</f>
        <v>9</v>
      </c>
      <c r="AB3" s="20" t="n">
        <f aca="false">AC4-AC1</f>
        <v>3</v>
      </c>
      <c r="AC3" s="21"/>
      <c r="AD3" s="23"/>
      <c r="AE3" s="25"/>
      <c r="AF3" s="19" t="n">
        <f aca="false">J8</f>
        <v>3</v>
      </c>
      <c r="AG3" s="20" t="n">
        <f aca="false">AH4-AH1</f>
        <v>0</v>
      </c>
      <c r="AH3" s="21"/>
      <c r="AI3" s="23"/>
      <c r="AJ3" s="23"/>
      <c r="AK3" s="19" t="n">
        <f aca="false">J10</f>
        <v>9</v>
      </c>
      <c r="AL3" s="20" t="n">
        <f aca="false">AM4-AM1</f>
        <v>0</v>
      </c>
      <c r="AM3" s="21"/>
      <c r="AN3" s="6"/>
    </row>
    <row r="4" customFormat="false" ht="12.8" hidden="false" customHeight="false" outlineLevel="0" collapsed="false">
      <c r="A4" s="2" t="s">
        <v>9</v>
      </c>
      <c r="B4" s="15" t="s">
        <v>6</v>
      </c>
      <c r="C4" s="16"/>
      <c r="D4" s="17"/>
      <c r="E4" s="16" t="s">
        <v>14</v>
      </c>
      <c r="F4" s="16"/>
      <c r="G4" s="16"/>
      <c r="H4" s="2" t="n">
        <v>4</v>
      </c>
      <c r="I4" s="18" t="n">
        <f aca="false">100%-I3</f>
        <v>0.65</v>
      </c>
      <c r="J4" s="9" t="n">
        <f aca="false">ROUNDUP(H4/I4,0)</f>
        <v>7</v>
      </c>
      <c r="K4" s="6"/>
      <c r="L4" s="26" t="n">
        <f aca="false">N4-L3</f>
        <v>0</v>
      </c>
      <c r="M4" s="6"/>
      <c r="N4" s="27" t="n">
        <f aca="false">MIN(Q4,Q10)</f>
        <v>6</v>
      </c>
      <c r="O4" s="28"/>
      <c r="P4" s="6"/>
      <c r="Q4" s="26" t="n">
        <f aca="false">S4-Q3</f>
        <v>9</v>
      </c>
      <c r="R4" s="6"/>
      <c r="S4" s="27" t="n">
        <f aca="false">AA4</f>
        <v>29</v>
      </c>
      <c r="T4" s="6"/>
      <c r="U4" s="6"/>
      <c r="Y4" s="6"/>
      <c r="Z4" s="6"/>
      <c r="AA4" s="26" t="n">
        <f aca="false">AC4-AA3</f>
        <v>29</v>
      </c>
      <c r="AB4" s="6"/>
      <c r="AC4" s="27" t="n">
        <f aca="false">AF4</f>
        <v>38</v>
      </c>
      <c r="AD4" s="6"/>
      <c r="AE4" s="29"/>
      <c r="AF4" s="26" t="n">
        <f aca="false">AH4-AF3</f>
        <v>38</v>
      </c>
      <c r="AG4" s="6"/>
      <c r="AH4" s="27" t="n">
        <f aca="false">AK4</f>
        <v>41</v>
      </c>
      <c r="AI4" s="6"/>
      <c r="AJ4" s="6"/>
      <c r="AK4" s="26" t="n">
        <f aca="false">AM4-AK3</f>
        <v>41</v>
      </c>
      <c r="AL4" s="6"/>
      <c r="AM4" s="27" t="n">
        <f aca="false">AM1</f>
        <v>50</v>
      </c>
      <c r="AN4" s="6"/>
    </row>
    <row r="5" customFormat="false" ht="12.8" hidden="false" customHeight="false" outlineLevel="0" collapsed="false">
      <c r="A5" s="2"/>
      <c r="B5" s="15"/>
      <c r="C5" s="16"/>
      <c r="D5" s="17"/>
      <c r="E5" s="16"/>
      <c r="F5" s="16"/>
      <c r="G5" s="16"/>
      <c r="H5" s="2"/>
      <c r="I5" s="18"/>
      <c r="J5" s="9"/>
      <c r="K5" s="6"/>
      <c r="L5" s="6"/>
      <c r="M5" s="6"/>
      <c r="N5" s="6"/>
      <c r="O5" s="30"/>
      <c r="AE5" s="31"/>
    </row>
    <row r="6" customFormat="false" ht="12.8" hidden="false" customHeight="false" outlineLevel="0" collapsed="false">
      <c r="A6" s="2" t="s">
        <v>14</v>
      </c>
      <c r="B6" s="15" t="s">
        <v>9</v>
      </c>
      <c r="C6" s="16"/>
      <c r="D6" s="17"/>
      <c r="E6" s="16" t="s">
        <v>15</v>
      </c>
      <c r="F6" s="16"/>
      <c r="G6" s="16"/>
      <c r="H6" s="2" t="n">
        <v>9</v>
      </c>
      <c r="I6" s="18" t="n">
        <f aca="false">100%-I3</f>
        <v>0.65</v>
      </c>
      <c r="J6" s="9" t="n">
        <f aca="false">ROUNDUP(H6/I6,0)</f>
        <v>14</v>
      </c>
      <c r="K6" s="6"/>
      <c r="L6" s="6"/>
      <c r="M6" s="6"/>
      <c r="N6" s="6"/>
      <c r="O6" s="30"/>
      <c r="AE6" s="31"/>
    </row>
    <row r="7" customFormat="false" ht="12.8" hidden="false" customHeight="false" outlineLevel="0" collapsed="false">
      <c r="A7" s="2" t="s">
        <v>10</v>
      </c>
      <c r="B7" s="15" t="s">
        <v>13</v>
      </c>
      <c r="C7" s="16"/>
      <c r="D7" s="17"/>
      <c r="E7" s="16" t="s">
        <v>11</v>
      </c>
      <c r="F7" s="16"/>
      <c r="G7" s="16"/>
      <c r="H7" s="2" t="n">
        <v>3</v>
      </c>
      <c r="I7" s="18" t="n">
        <f aca="false">I3</f>
        <v>0.35</v>
      </c>
      <c r="J7" s="9" t="n">
        <f aca="false">ROUNDUP(H7/I7,0)</f>
        <v>9</v>
      </c>
      <c r="K7" s="6"/>
      <c r="L7" s="6"/>
      <c r="M7" s="6"/>
      <c r="N7" s="6"/>
      <c r="O7" s="30"/>
      <c r="Q7" s="7" t="n">
        <f aca="false">N1</f>
        <v>6</v>
      </c>
      <c r="R7" s="6"/>
      <c r="S7" s="8" t="n">
        <f aca="false">Q9+Q7</f>
        <v>13</v>
      </c>
      <c r="V7" s="7" t="n">
        <f aca="false">S7</f>
        <v>13</v>
      </c>
      <c r="W7" s="6"/>
      <c r="X7" s="8" t="n">
        <f aca="false">V9+V7</f>
        <v>27</v>
      </c>
      <c r="AA7" s="7" t="n">
        <f aca="false">X7</f>
        <v>27</v>
      </c>
      <c r="AB7" s="6"/>
      <c r="AC7" s="8" t="n">
        <f aca="false">AA9+AA7</f>
        <v>38</v>
      </c>
      <c r="AE7" s="31"/>
    </row>
    <row r="8" customFormat="false" ht="12.8" hidden="false" customHeight="false" outlineLevel="0" collapsed="false">
      <c r="A8" s="9" t="s">
        <v>11</v>
      </c>
      <c r="B8" s="10" t="s">
        <v>10</v>
      </c>
      <c r="C8" s="11"/>
      <c r="D8" s="12"/>
      <c r="E8" s="11" t="s">
        <v>12</v>
      </c>
      <c r="F8" s="11"/>
      <c r="G8" s="11"/>
      <c r="H8" s="9" t="n">
        <v>3</v>
      </c>
      <c r="I8" s="13" t="n">
        <v>1</v>
      </c>
      <c r="J8" s="9" t="n">
        <f aca="false">ROUNDUP(H8/I8,0)</f>
        <v>3</v>
      </c>
      <c r="K8" s="6"/>
      <c r="O8" s="30"/>
      <c r="Q8" s="14" t="s">
        <v>9</v>
      </c>
      <c r="R8" s="14"/>
      <c r="S8" s="14"/>
      <c r="V8" s="14" t="s">
        <v>14</v>
      </c>
      <c r="W8" s="14"/>
      <c r="X8" s="14"/>
      <c r="AA8" s="14" t="s">
        <v>15</v>
      </c>
      <c r="AB8" s="14"/>
      <c r="AC8" s="14"/>
      <c r="AE8" s="31"/>
    </row>
    <row r="9" customFormat="false" ht="13.4" hidden="false" customHeight="false" outlineLevel="0" collapsed="false">
      <c r="A9" s="2" t="s">
        <v>15</v>
      </c>
      <c r="B9" s="15" t="s">
        <v>14</v>
      </c>
      <c r="C9" s="16"/>
      <c r="D9" s="17"/>
      <c r="E9" s="16" t="s">
        <v>12</v>
      </c>
      <c r="F9" s="16"/>
      <c r="G9" s="16"/>
      <c r="H9" s="2" t="n">
        <v>7</v>
      </c>
      <c r="I9" s="18" t="n">
        <f aca="false">100%-I3</f>
        <v>0.65</v>
      </c>
      <c r="J9" s="9" t="n">
        <f aca="false">ROUNDUP(H9/I9,0)</f>
        <v>11</v>
      </c>
      <c r="K9" s="6"/>
      <c r="P9" s="23"/>
      <c r="Q9" s="19" t="n">
        <f aca="false">J4</f>
        <v>7</v>
      </c>
      <c r="R9" s="20" t="n">
        <f aca="false">S10-S7</f>
        <v>0</v>
      </c>
      <c r="S9" s="21"/>
      <c r="T9" s="23"/>
      <c r="U9" s="23"/>
      <c r="V9" s="19" t="n">
        <f aca="false">J6</f>
        <v>14</v>
      </c>
      <c r="W9" s="20" t="n">
        <f aca="false">X10-X7</f>
        <v>0</v>
      </c>
      <c r="X9" s="21"/>
      <c r="Y9" s="23"/>
      <c r="Z9" s="23"/>
      <c r="AA9" s="19" t="n">
        <f aca="false">J9</f>
        <v>11</v>
      </c>
      <c r="AB9" s="20" t="n">
        <f aca="false">AC10-AC7</f>
        <v>0</v>
      </c>
      <c r="AC9" s="21"/>
      <c r="AD9" s="23"/>
    </row>
    <row r="10" customFormat="false" ht="12.8" hidden="false" customHeight="false" outlineLevel="0" collapsed="false">
      <c r="A10" s="9" t="s">
        <v>12</v>
      </c>
      <c r="B10" s="10" t="s">
        <v>11</v>
      </c>
      <c r="C10" s="11" t="s">
        <v>15</v>
      </c>
      <c r="D10" s="12"/>
      <c r="E10" s="11"/>
      <c r="F10" s="11"/>
      <c r="G10" s="11"/>
      <c r="H10" s="9" t="n">
        <v>9</v>
      </c>
      <c r="I10" s="13" t="n">
        <v>1</v>
      </c>
      <c r="J10" s="9" t="n">
        <f aca="false">ROUNDUP(H10/I10,0)</f>
        <v>9</v>
      </c>
      <c r="K10" s="6"/>
      <c r="Q10" s="26" t="n">
        <f aca="false">S10-Q9</f>
        <v>6</v>
      </c>
      <c r="R10" s="6"/>
      <c r="S10" s="27" t="n">
        <f aca="false">V10</f>
        <v>13</v>
      </c>
      <c r="V10" s="26" t="n">
        <f aca="false">X10-V9</f>
        <v>13</v>
      </c>
      <c r="W10" s="6"/>
      <c r="X10" s="27" t="n">
        <f aca="false">AA10</f>
        <v>27</v>
      </c>
      <c r="AA10" s="26" t="n">
        <f aca="false">AC10-AA9</f>
        <v>27</v>
      </c>
      <c r="AB10" s="6"/>
      <c r="AC10" s="27" t="n">
        <f aca="false">AF4</f>
        <v>38</v>
      </c>
    </row>
    <row r="11" customFormat="false" ht="12.8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32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customFormat="false" ht="12.8" hidden="false" customHeight="false" outlineLevel="0" collapsed="false">
      <c r="A12" s="6"/>
      <c r="B12" s="6"/>
      <c r="C12" s="6"/>
      <c r="D12" s="6"/>
      <c r="E12" s="6"/>
      <c r="F12" s="6"/>
      <c r="G12" s="6" t="n">
        <v>20</v>
      </c>
      <c r="H12" s="6" t="n">
        <v>5</v>
      </c>
      <c r="I12" s="32" t="n">
        <v>0.8</v>
      </c>
      <c r="J12" s="6" t="n">
        <f aca="false">G12/(H12*I12)</f>
        <v>5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</row>
    <row r="13" customFormat="false" ht="12.8" hidden="false" customHeight="false" outlineLevel="0" collapsed="false">
      <c r="AF13" s="6"/>
    </row>
    <row r="14" customFormat="false" ht="12.8" hidden="false" customHeight="false" outlineLevel="0" collapsed="false">
      <c r="AF14" s="6"/>
    </row>
    <row r="15" customFormat="false" ht="12.8" hidden="false" customHeight="false" outlineLevel="0" collapsed="false">
      <c r="AF15" s="6"/>
    </row>
    <row r="16" customFormat="false" ht="12.8" hidden="false" customHeight="false" outlineLevel="0" collapsed="false">
      <c r="AF16" s="6"/>
    </row>
    <row r="24" customFormat="false" ht="12.8" hidden="false" customHeight="false" outlineLevel="0" collapsed="false">
      <c r="A24" s="6"/>
      <c r="B24" s="6"/>
      <c r="C24" s="6"/>
    </row>
    <row r="25" customFormat="false" ht="12.8" hidden="false" customHeight="false" outlineLevel="0" collapsed="false">
      <c r="A25" s="6"/>
      <c r="B25" s="6"/>
      <c r="C25" s="6"/>
    </row>
    <row r="26" customFormat="false" ht="12.8" hidden="false" customHeight="false" outlineLevel="0" collapsed="false">
      <c r="A26" s="6"/>
      <c r="B26" s="6"/>
      <c r="C26" s="6"/>
    </row>
    <row r="27" customFormat="false" ht="12.8" hidden="false" customHeight="false" outlineLevel="0" collapsed="false">
      <c r="A27" s="6"/>
      <c r="B27" s="6"/>
      <c r="C27" s="6"/>
    </row>
    <row r="28" customFormat="false" ht="12.8" hidden="false" customHeight="false" outlineLevel="0" collapsed="false">
      <c r="A28" s="6"/>
      <c r="B28" s="6"/>
      <c r="C28" s="6"/>
    </row>
    <row r="29" customFormat="false" ht="12.8" hidden="false" customHeight="false" outlineLevel="0" collapsed="false">
      <c r="A29" s="6"/>
      <c r="B29" s="6"/>
      <c r="C29" s="6"/>
    </row>
    <row r="30" customFormat="false" ht="12.8" hidden="false" customHeight="false" outlineLevel="0" collapsed="false">
      <c r="A30" s="6"/>
      <c r="B30" s="6"/>
      <c r="C30" s="6"/>
    </row>
    <row r="31" customFormat="false" ht="12.8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32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3" customFormat="false" ht="12.8" hidden="false" customHeight="false" outlineLevel="0" collapsed="false">
      <c r="A33" s="7" t="s">
        <v>16</v>
      </c>
      <c r="B33" s="6"/>
      <c r="C33" s="8" t="s">
        <v>17</v>
      </c>
      <c r="D33" s="33" t="s">
        <v>18</v>
      </c>
      <c r="E33" s="33"/>
      <c r="F33" s="33"/>
      <c r="G33" s="33"/>
      <c r="H33" s="33"/>
      <c r="I33" s="33"/>
      <c r="J33" s="33"/>
    </row>
    <row r="34" customFormat="false" ht="12.8" hidden="false" customHeight="false" outlineLevel="0" collapsed="false">
      <c r="A34" s="14" t="s">
        <v>6</v>
      </c>
      <c r="B34" s="14"/>
      <c r="C34" s="14"/>
      <c r="D34" s="33" t="s">
        <v>19</v>
      </c>
      <c r="E34" s="33"/>
      <c r="F34" s="33"/>
      <c r="G34" s="33"/>
      <c r="H34" s="33"/>
      <c r="I34" s="33"/>
      <c r="J34" s="33"/>
    </row>
    <row r="35" customFormat="false" ht="13.4" hidden="false" customHeight="false" outlineLevel="0" collapsed="false">
      <c r="A35" s="19" t="s">
        <v>13</v>
      </c>
      <c r="B35" s="34" t="s">
        <v>20</v>
      </c>
      <c r="C35" s="21" t="s">
        <v>21</v>
      </c>
      <c r="D35" s="33" t="s">
        <v>22</v>
      </c>
      <c r="E35" s="33"/>
      <c r="F35" s="33"/>
      <c r="G35" s="33"/>
      <c r="H35" s="33"/>
      <c r="I35" s="33"/>
      <c r="J35" s="33"/>
      <c r="K35" s="0" t="s">
        <v>23</v>
      </c>
      <c r="L35" s="33" t="s">
        <v>24</v>
      </c>
      <c r="M35" s="33"/>
      <c r="N35" s="33"/>
      <c r="O35" s="33"/>
      <c r="P35" s="33"/>
      <c r="Q35" s="33"/>
      <c r="R35" s="33"/>
      <c r="S35" s="0" t="s">
        <v>25</v>
      </c>
      <c r="T35" s="33" t="s">
        <v>26</v>
      </c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customFormat="false" ht="12.8" hidden="false" customHeight="false" outlineLevel="0" collapsed="false">
      <c r="A36" s="26" t="s">
        <v>27</v>
      </c>
      <c r="B36" s="6"/>
      <c r="C36" s="27" t="s">
        <v>28</v>
      </c>
      <c r="D36" s="33" t="s">
        <v>29</v>
      </c>
      <c r="E36" s="33"/>
      <c r="F36" s="33"/>
      <c r="G36" s="33"/>
      <c r="H36" s="33"/>
      <c r="I36" s="33"/>
      <c r="J36" s="33"/>
    </row>
    <row r="37" customFormat="false" ht="12.8" hidden="false" customHeight="false" outlineLevel="0" collapsed="false">
      <c r="A37" s="35" t="s">
        <v>30</v>
      </c>
      <c r="C37" s="35" t="s">
        <v>31</v>
      </c>
    </row>
    <row r="38" customFormat="false" ht="12.8" hidden="false" customHeight="false" outlineLevel="0" collapsed="false">
      <c r="A38" s="35"/>
      <c r="C38" s="35"/>
    </row>
    <row r="39" customFormat="false" ht="12.8" hidden="false" customHeight="false" outlineLevel="0" collapsed="false">
      <c r="A39" s="35"/>
      <c r="C39" s="35"/>
    </row>
    <row r="40" customFormat="false" ht="12.8" hidden="false" customHeight="false" outlineLevel="0" collapsed="false">
      <c r="A40" s="35"/>
      <c r="C40" s="35"/>
    </row>
    <row r="41" customFormat="false" ht="12.8" hidden="false" customHeight="false" outlineLevel="0" collapsed="false">
      <c r="A41" s="35"/>
      <c r="C41" s="35"/>
    </row>
    <row r="42" customFormat="false" ht="12.8" hidden="false" customHeight="false" outlineLevel="0" collapsed="false">
      <c r="A42" s="35"/>
      <c r="C42" s="35"/>
    </row>
    <row r="43" customFormat="false" ht="12.8" hidden="false" customHeight="false" outlineLevel="0" collapsed="false">
      <c r="A43" s="35"/>
      <c r="C43" s="35"/>
    </row>
    <row r="44" customFormat="false" ht="12.8" hidden="false" customHeight="false" outlineLevel="0" collapsed="false">
      <c r="A44" s="35"/>
      <c r="C44" s="35"/>
    </row>
    <row r="45" customFormat="false" ht="12.8" hidden="false" customHeight="false" outlineLevel="0" collapsed="false">
      <c r="A45" s="35"/>
      <c r="C45" s="35"/>
    </row>
  </sheetData>
  <mergeCells count="19">
    <mergeCell ref="B1:D1"/>
    <mergeCell ref="E1:G1"/>
    <mergeCell ref="L2:N2"/>
    <mergeCell ref="Q2:S2"/>
    <mergeCell ref="AA2:AC2"/>
    <mergeCell ref="AF2:AH2"/>
    <mergeCell ref="AK2:AM2"/>
    <mergeCell ref="Q8:S8"/>
    <mergeCell ref="V8:X8"/>
    <mergeCell ref="AA8:AC8"/>
    <mergeCell ref="D33:J33"/>
    <mergeCell ref="A34:C34"/>
    <mergeCell ref="D34:J34"/>
    <mergeCell ref="D35:J35"/>
    <mergeCell ref="L35:R35"/>
    <mergeCell ref="T35:AD35"/>
    <mergeCell ref="D36:J36"/>
    <mergeCell ref="A37:A45"/>
    <mergeCell ref="C37:C45"/>
  </mergeCells>
  <conditionalFormatting sqref="B35 M3 R3 R9 W9 AB3 AB9 AG3 AL3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K9" activeCellId="0" sqref="K9"/>
    </sheetView>
  </sheetViews>
  <sheetFormatPr defaultColWidth="11.66015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9" t="s">
        <v>0</v>
      </c>
      <c r="B1" s="36" t="s">
        <v>1</v>
      </c>
      <c r="C1" s="36"/>
      <c r="D1" s="36"/>
      <c r="E1" s="37" t="s">
        <v>2</v>
      </c>
      <c r="F1" s="37"/>
      <c r="G1" s="37"/>
      <c r="H1" s="9" t="s">
        <v>13</v>
      </c>
    </row>
    <row r="2" customFormat="false" ht="12.8" hidden="false" customHeight="false" outlineLevel="0" collapsed="false">
      <c r="A2" s="2" t="s">
        <v>6</v>
      </c>
      <c r="B2" s="38" t="s">
        <v>7</v>
      </c>
      <c r="C2" s="39" t="s">
        <v>7</v>
      </c>
      <c r="D2" s="40"/>
      <c r="E2" s="16" t="s">
        <v>8</v>
      </c>
      <c r="F2" s="16" t="s">
        <v>9</v>
      </c>
      <c r="G2" s="16"/>
      <c r="H2" s="2" t="n">
        <v>6</v>
      </c>
    </row>
    <row r="3" customFormat="false" ht="12.8" hidden="false" customHeight="false" outlineLevel="0" collapsed="false">
      <c r="A3" s="2" t="s">
        <v>8</v>
      </c>
      <c r="B3" s="15" t="s">
        <v>6</v>
      </c>
      <c r="C3" s="16"/>
      <c r="D3" s="17"/>
      <c r="E3" s="16" t="s">
        <v>13</v>
      </c>
      <c r="F3" s="16"/>
      <c r="G3" s="16"/>
      <c r="H3" s="2" t="n">
        <v>7</v>
      </c>
    </row>
    <row r="4" customFormat="false" ht="12.8" hidden="false" customHeight="false" outlineLevel="0" collapsed="false">
      <c r="A4" s="2" t="s">
        <v>9</v>
      </c>
      <c r="B4" s="15" t="s">
        <v>6</v>
      </c>
      <c r="C4" s="16"/>
      <c r="D4" s="17"/>
      <c r="E4" s="16" t="s">
        <v>13</v>
      </c>
      <c r="F4" s="16"/>
      <c r="G4" s="16"/>
      <c r="H4" s="2" t="n">
        <v>4</v>
      </c>
    </row>
    <row r="5" customFormat="false" ht="12.8" hidden="false" customHeight="false" outlineLevel="0" collapsed="false">
      <c r="A5" s="2" t="s">
        <v>13</v>
      </c>
      <c r="B5" s="15" t="s">
        <v>8</v>
      </c>
      <c r="C5" s="16" t="s">
        <v>9</v>
      </c>
      <c r="D5" s="17"/>
      <c r="E5" s="16" t="s">
        <v>14</v>
      </c>
      <c r="F5" s="16"/>
      <c r="G5" s="16"/>
      <c r="H5" s="2" t="n">
        <v>5</v>
      </c>
    </row>
    <row r="6" customFormat="false" ht="12.8" hidden="false" customHeight="false" outlineLevel="0" collapsed="false">
      <c r="A6" s="2" t="s">
        <v>14</v>
      </c>
      <c r="B6" s="15" t="s">
        <v>13</v>
      </c>
      <c r="C6" s="16"/>
      <c r="D6" s="17"/>
      <c r="E6" s="39"/>
      <c r="F6" s="39"/>
      <c r="G6" s="39"/>
      <c r="H6" s="2" t="n">
        <v>9</v>
      </c>
    </row>
    <row r="9" customFormat="false" ht="12.8" hidden="false" customHeight="false" outlineLevel="0" collapsed="false">
      <c r="A9" s="7" t="n">
        <v>0</v>
      </c>
      <c r="B9" s="6"/>
      <c r="C9" s="8" t="n">
        <v>6</v>
      </c>
      <c r="F9" s="7" t="n">
        <v>6</v>
      </c>
      <c r="G9" s="6"/>
      <c r="H9" s="8" t="n">
        <v>13</v>
      </c>
      <c r="K9" s="7" t="n">
        <v>13</v>
      </c>
      <c r="L9" s="6"/>
      <c r="M9" s="8" t="n">
        <v>18</v>
      </c>
      <c r="P9" s="7" t="n">
        <v>18</v>
      </c>
      <c r="Q9" s="6"/>
      <c r="R9" s="8" t="n">
        <v>27</v>
      </c>
    </row>
    <row r="10" customFormat="false" ht="12.8" hidden="false" customHeight="false" outlineLevel="0" collapsed="false">
      <c r="A10" s="14" t="s">
        <v>6</v>
      </c>
      <c r="B10" s="14"/>
      <c r="C10" s="14"/>
      <c r="F10" s="14" t="s">
        <v>8</v>
      </c>
      <c r="G10" s="14"/>
      <c r="H10" s="14"/>
      <c r="K10" s="14" t="s">
        <v>13</v>
      </c>
      <c r="L10" s="14"/>
      <c r="M10" s="14"/>
      <c r="P10" s="14" t="s">
        <v>14</v>
      </c>
      <c r="Q10" s="14"/>
      <c r="R10" s="14"/>
    </row>
    <row r="11" customFormat="false" ht="12.8" hidden="false" customHeight="false" outlineLevel="0" collapsed="false">
      <c r="A11" s="19" t="n">
        <f aca="false" t="array" ref="A11:A11">VLOOKUP(A10,$A$2:$H$10,8)</f>
        <v>6</v>
      </c>
      <c r="B11" s="21" t="n">
        <v>0</v>
      </c>
      <c r="C11" s="21" t="n">
        <v>0</v>
      </c>
      <c r="F11" s="19" t="n">
        <f aca="false" t="array" ref="F11:F11">VLOOKUP(F10,$A$2:$H$10,8)</f>
        <v>7</v>
      </c>
      <c r="G11" s="21" t="n">
        <v>0</v>
      </c>
      <c r="H11" s="21" t="n">
        <v>0</v>
      </c>
      <c r="K11" s="19" t="n">
        <f aca="false" t="array" ref="K11:K11">VLOOKUP(K10,$A$2:$H$10,8)</f>
        <v>5</v>
      </c>
      <c r="L11" s="21" t="n">
        <v>0</v>
      </c>
      <c r="M11" s="21" t="n">
        <v>0</v>
      </c>
      <c r="P11" s="19" t="n">
        <f aca="false" t="array" ref="P11:P11">VLOOKUP(P10,$A$2:$H$10,8)</f>
        <v>9</v>
      </c>
      <c r="Q11" s="21" t="n">
        <v>0</v>
      </c>
      <c r="R11" s="21"/>
    </row>
    <row r="12" customFormat="false" ht="12.8" hidden="false" customHeight="false" outlineLevel="0" collapsed="false">
      <c r="A12" s="26" t="n">
        <v>0</v>
      </c>
      <c r="B12" s="6"/>
      <c r="C12" s="27" t="n">
        <v>6</v>
      </c>
      <c r="F12" s="26" t="n">
        <v>6</v>
      </c>
      <c r="G12" s="6"/>
      <c r="H12" s="27" t="n">
        <v>13</v>
      </c>
      <c r="K12" s="26" t="n">
        <v>13</v>
      </c>
      <c r="L12" s="6"/>
      <c r="M12" s="27" t="n">
        <v>18</v>
      </c>
      <c r="P12" s="26" t="n">
        <v>18</v>
      </c>
      <c r="Q12" s="6"/>
      <c r="R12" s="27" t="n">
        <v>27</v>
      </c>
    </row>
    <row r="15" customFormat="false" ht="12.8" hidden="false" customHeight="false" outlineLevel="0" collapsed="false">
      <c r="F15" s="7" t="n">
        <v>6</v>
      </c>
      <c r="G15" s="6"/>
      <c r="H15" s="8" t="n">
        <v>10</v>
      </c>
    </row>
    <row r="16" customFormat="false" ht="12.8" hidden="false" customHeight="false" outlineLevel="0" collapsed="false">
      <c r="F16" s="14" t="s">
        <v>9</v>
      </c>
      <c r="G16" s="14"/>
      <c r="H16" s="14"/>
    </row>
    <row r="17" customFormat="false" ht="13.4" hidden="false" customHeight="false" outlineLevel="0" collapsed="false">
      <c r="F17" s="19" t="n">
        <f aca="false" t="array" ref="F17:F17">VLOOKUP(F16,$A$2:$H$10,8)</f>
        <v>4</v>
      </c>
      <c r="G17" s="21" t="n">
        <v>3</v>
      </c>
      <c r="H17" s="21" t="n">
        <v>3</v>
      </c>
    </row>
    <row r="18" customFormat="false" ht="12.8" hidden="false" customHeight="false" outlineLevel="0" collapsed="false">
      <c r="F18" s="26" t="n">
        <v>9</v>
      </c>
      <c r="G18" s="6"/>
      <c r="H18" s="27" t="n">
        <v>13</v>
      </c>
    </row>
    <row r="50" customFormat="false" ht="12.8" hidden="false" customHeight="false" outlineLevel="0" collapsed="false">
      <c r="A50" s="41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</row>
    <row r="51" customFormat="false" ht="12.8" hidden="false" customHeight="false" outlineLevel="0" collapsed="false">
      <c r="A51" s="41"/>
      <c r="B51" s="43" t="s">
        <v>16</v>
      </c>
      <c r="C51" s="43"/>
      <c r="D51" s="43" t="s">
        <v>17</v>
      </c>
      <c r="E51" s="43"/>
      <c r="F51" s="43"/>
      <c r="G51" s="43"/>
      <c r="H51" s="43"/>
      <c r="I51" s="43"/>
      <c r="J51" s="43"/>
      <c r="K51" s="43"/>
      <c r="L51" s="42"/>
    </row>
    <row r="52" customFormat="false" ht="12.8" hidden="false" customHeight="false" outlineLevel="0" collapsed="false">
      <c r="A52" s="41"/>
      <c r="B52" s="44" t="s">
        <v>0</v>
      </c>
      <c r="C52" s="44"/>
      <c r="D52" s="44"/>
      <c r="E52" s="43"/>
      <c r="F52" s="45" t="s">
        <v>32</v>
      </c>
      <c r="G52" s="45"/>
      <c r="H52" s="45"/>
      <c r="I52" s="45"/>
      <c r="J52" s="45"/>
      <c r="K52" s="43"/>
      <c r="L52" s="42"/>
    </row>
    <row r="53" customFormat="false" ht="12.8" hidden="false" customHeight="false" outlineLevel="0" collapsed="false">
      <c r="A53" s="41"/>
      <c r="B53" s="46" t="s">
        <v>13</v>
      </c>
      <c r="C53" s="47" t="s">
        <v>20</v>
      </c>
      <c r="D53" s="46" t="s">
        <v>21</v>
      </c>
      <c r="E53" s="43"/>
      <c r="F53" s="43"/>
      <c r="G53" s="43"/>
      <c r="H53" s="43"/>
      <c r="I53" s="43"/>
      <c r="J53" s="43"/>
      <c r="K53" s="43"/>
      <c r="L53" s="42"/>
    </row>
    <row r="54" customFormat="false" ht="12.8" hidden="false" customHeight="false" outlineLevel="0" collapsed="false">
      <c r="A54" s="41"/>
      <c r="B54" s="43" t="s">
        <v>27</v>
      </c>
      <c r="C54" s="43"/>
      <c r="D54" s="43" t="s">
        <v>28</v>
      </c>
      <c r="E54" s="43"/>
      <c r="F54" s="43"/>
      <c r="G54" s="43"/>
      <c r="H54" s="43"/>
      <c r="I54" s="43"/>
      <c r="J54" s="43"/>
      <c r="K54" s="43"/>
      <c r="L54" s="42"/>
    </row>
    <row r="55" customFormat="false" ht="12.8" hidden="false" customHeight="false" outlineLevel="0" collapsed="false">
      <c r="A55" s="41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2"/>
    </row>
    <row r="56" customFormat="false" ht="12.8" hidden="false" customHeight="false" outlineLevel="0" collapsed="false">
      <c r="A56" s="41"/>
      <c r="B56" s="48" t="s">
        <v>16</v>
      </c>
      <c r="C56" s="49" t="s">
        <v>33</v>
      </c>
      <c r="D56" s="49"/>
      <c r="E56" s="49"/>
      <c r="F56" s="49"/>
      <c r="G56" s="49"/>
      <c r="H56" s="49"/>
      <c r="I56" s="49"/>
      <c r="J56" s="49"/>
      <c r="K56" s="49"/>
      <c r="L56" s="42"/>
    </row>
    <row r="57" customFormat="false" ht="12.8" hidden="false" customHeight="false" outlineLevel="0" collapsed="false">
      <c r="A57" s="41"/>
      <c r="B57" s="48" t="s">
        <v>27</v>
      </c>
      <c r="C57" s="49" t="s">
        <v>34</v>
      </c>
      <c r="D57" s="49"/>
      <c r="E57" s="49"/>
      <c r="F57" s="49"/>
      <c r="G57" s="49"/>
      <c r="H57" s="49"/>
      <c r="I57" s="49"/>
      <c r="J57" s="49"/>
      <c r="K57" s="49"/>
      <c r="L57" s="42"/>
    </row>
    <row r="58" customFormat="false" ht="12.8" hidden="false" customHeight="false" outlineLevel="0" collapsed="false">
      <c r="A58" s="41"/>
      <c r="B58" s="48" t="s">
        <v>17</v>
      </c>
      <c r="C58" s="49" t="s">
        <v>35</v>
      </c>
      <c r="D58" s="49"/>
      <c r="E58" s="49"/>
      <c r="F58" s="49"/>
      <c r="G58" s="49"/>
      <c r="H58" s="49"/>
      <c r="I58" s="49"/>
      <c r="J58" s="49"/>
      <c r="K58" s="49"/>
      <c r="L58" s="42"/>
    </row>
    <row r="59" customFormat="false" ht="12.8" hidden="false" customHeight="false" outlineLevel="0" collapsed="false">
      <c r="A59" s="41"/>
      <c r="B59" s="48" t="s">
        <v>28</v>
      </c>
      <c r="C59" s="49" t="s">
        <v>36</v>
      </c>
      <c r="D59" s="49"/>
      <c r="E59" s="49"/>
      <c r="F59" s="49"/>
      <c r="G59" s="49"/>
      <c r="H59" s="49"/>
      <c r="I59" s="49"/>
      <c r="J59" s="49"/>
      <c r="K59" s="49"/>
      <c r="L59" s="42"/>
    </row>
    <row r="60" customFormat="false" ht="12.8" hidden="false" customHeight="false" outlineLevel="0" collapsed="false">
      <c r="A60" s="41"/>
      <c r="B60" s="46" t="s">
        <v>13</v>
      </c>
      <c r="C60" s="49" t="s">
        <v>5</v>
      </c>
      <c r="D60" s="49"/>
      <c r="E60" s="49"/>
      <c r="F60" s="49"/>
      <c r="G60" s="49"/>
      <c r="H60" s="49"/>
      <c r="I60" s="49"/>
      <c r="J60" s="49"/>
      <c r="K60" s="49"/>
      <c r="L60" s="42"/>
    </row>
    <row r="61" customFormat="false" ht="12.8" hidden="false" customHeight="false" outlineLevel="0" collapsed="false">
      <c r="A61" s="41"/>
      <c r="B61" s="47" t="s">
        <v>20</v>
      </c>
      <c r="C61" s="49" t="s">
        <v>37</v>
      </c>
      <c r="D61" s="49"/>
      <c r="E61" s="49"/>
      <c r="F61" s="49"/>
      <c r="G61" s="49"/>
      <c r="H61" s="49"/>
      <c r="I61" s="49"/>
      <c r="J61" s="49"/>
      <c r="K61" s="49"/>
      <c r="L61" s="42"/>
    </row>
    <row r="62" customFormat="false" ht="12.8" hidden="false" customHeight="false" outlineLevel="0" collapsed="false">
      <c r="A62" s="41"/>
      <c r="B62" s="50" t="s">
        <v>21</v>
      </c>
      <c r="C62" s="42" t="s">
        <v>38</v>
      </c>
      <c r="D62" s="42"/>
      <c r="E62" s="42"/>
      <c r="F62" s="42"/>
      <c r="G62" s="42"/>
      <c r="H62" s="42"/>
      <c r="I62" s="42"/>
      <c r="J62" s="42"/>
      <c r="K62" s="42"/>
      <c r="L62" s="42"/>
    </row>
    <row r="63" customFormat="false" ht="12.8" hidden="false" customHeight="false" outlineLevel="0" collapsed="false">
      <c r="A63" s="41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</row>
  </sheetData>
  <mergeCells count="15">
    <mergeCell ref="B1:D1"/>
    <mergeCell ref="E1:G1"/>
    <mergeCell ref="A10:C10"/>
    <mergeCell ref="F10:H10"/>
    <mergeCell ref="K10:M10"/>
    <mergeCell ref="P10:R10"/>
    <mergeCell ref="F16:H16"/>
    <mergeCell ref="B52:D52"/>
    <mergeCell ref="F52:J52"/>
    <mergeCell ref="C56:K56"/>
    <mergeCell ref="C57:K57"/>
    <mergeCell ref="C58:K58"/>
    <mergeCell ref="C59:K59"/>
    <mergeCell ref="C60:K60"/>
    <mergeCell ref="C61:K61"/>
  </mergeCells>
  <conditionalFormatting sqref="C52:C53 B61">
    <cfRule type="cellIs" priority="2" operator="equal" aboveAverage="0" equalAverage="0" bottom="0" percent="0" rank="0" text="" dxfId="1">
      <formula>0</formula>
    </cfRule>
  </conditionalFormatting>
  <conditionalFormatting sqref="B11 G11 G17 L11 Q11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2021-11-23T10:37:48Z</dcterms:created>
  <dc:creator>Sebastian Meisel</dc:creator>
  <dc:description/>
  <dc:language>de-DE</dc:language>
  <cp:lastModifiedBy>Sebastian Meisel</cp:lastModifiedBy>
  <dcterms:modified xsi:type="dcterms:W3CDTF">2022-03-09T08:37:29Z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