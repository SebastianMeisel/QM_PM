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Übung1" sheetId="1" state="visible" r:id="rId3"/>
    <sheet name="Übung2" sheetId="2" state="visible" r:id="rId4"/>
    <sheet name="Übung3" sheetId="3" state="visible" r:id="rId5"/>
    <sheet name="Übung 4" sheetId="4" state="visible" r:id="rId6"/>
    <sheet name="Feierta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<sst xmlns="http://schemas.openxmlformats.org/spreadsheetml/2006/main" count="253" uniqueCount="89">
  <si>
    <t xml:space="preserve">ID</t>
  </si>
  <si>
    <t xml:space="preserve">Nachfolger</t>
  </si>
  <si>
    <t xml:space="preserve">D</t>
  </si>
  <si>
    <t xml:space="preserve">A</t>
  </si>
  <si>
    <t xml:space="preserve">B</t>
  </si>
  <si>
    <t xml:space="preserve">C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</si>
  <si>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</si>
  <si>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</si>
  <si>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</si>
  <si>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</si>
  <si>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</si>
  <si>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</si>
  <si>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 </t>
  </si>
  <si>
    <t xml:space="preserve">K</t>
  </si>
  <si>
    <t xml:space="preserve">L</t>
  </si>
  <si>
    <t xml:space="preserve">kritischer Pfad</t>
  </si>
  <si>
    <t xml:space="preserve">Anfangszeit</t>
  </si>
  <si>
    <t xml:space="preserve">Endzeit</t>
  </si>
  <si>
    <t xml:space="preserve">FAZ</t>
  </si>
  <si>
    <t xml:space="preserve">FEZ</t>
  </si>
  <si>
    <t xml:space="preserve">Frühester</t>
  </si>
  <si>
    <t xml:space="preserve">FEZ = FAZ + D</t>
  </si>
  <si>
    <t xml:space="preserve">FAZ = größste FEZ (Vorgänger)</t>
  </si>
  <si>
    <t xml:space="preserve">GP</t>
  </si>
  <si>
    <t xml:space="preserve">FP</t>
  </si>
  <si>
    <t xml:space="preserve">Puffer</t>
  </si>
  <si>
    <t xml:space="preserve">SEZ = kleinste SAZ (Nachfolger)</t>
  </si>
  <si>
    <t xml:space="preserve">SAZ</t>
  </si>
  <si>
    <t xml:space="preserve">SEZ</t>
  </si>
  <si>
    <t xml:space="preserve">Spätester</t>
  </si>
  <si>
    <t xml:space="preserve">SAZ = SEZ - D</t>
  </si>
  <si>
    <t xml:space="preserve">GP = SAZ-FAZ = SEZ-FEZ</t>
  </si>
  <si>
    <t xml:space="preserve">FP = kleinste FAZ (Nachfolger) – FEZ</t>
  </si>
  <si>
    <t xml:space="preserve">Kritischer Pfad</t>
  </si>
  <si>
    <t xml:space="preserve"> Frühester Anfangszeitpunkt</t>
  </si>
  <si>
    <t xml:space="preserve">Spätester Anfangszeitpunkt</t>
  </si>
  <si>
    <t xml:space="preserve">Frühester Endzeitpunkt</t>
  </si>
  <si>
    <t xml:space="preserve">Spätester Endzeitpunkt</t>
  </si>
  <si>
    <t xml:space="preserve">Dauer</t>
  </si>
  <si>
    <t xml:space="preserve">Gesamter Puffer (SAZ–FAZ=SEZ–FEZ )</t>
  </si>
  <si>
    <t xml:space="preserve">Freier Puffer (FAZ-Nachfolger – FEZ)</t>
  </si>
  <si>
    <t xml:space="preserve">Vorgänger</t>
  </si>
  <si>
    <t xml:space="preserve">Auftragegeberpräsi</t>
  </si>
  <si>
    <t xml:space="preserve">PT</t>
  </si>
  <si>
    <t xml:space="preserve">P</t>
  </si>
  <si>
    <t xml:space="preserve">K%</t>
  </si>
  <si>
    <t xml:space="preserve">Datum</t>
  </si>
  <si>
    <t xml:space="preserve">Feiertag</t>
  </si>
  <si>
    <t xml:space="preserve">Heilige Drei Könige</t>
  </si>
  <si>
    <t xml:space="preserve"> KW 01</t>
  </si>
  <si>
    <t xml:space="preserve"> Ba-Wü, Bay, Sa-An</t>
  </si>
  <si>
    <t xml:space="preserve">Internationaler Frauentag</t>
  </si>
  <si>
    <t xml:space="preserve"> KW 10</t>
  </si>
  <si>
    <t xml:space="preserve"> verlängertes Wochenende</t>
  </si>
  <si>
    <t xml:space="preserve"> B, MV</t>
  </si>
  <si>
    <t xml:space="preserve">Karfreitag</t>
  </si>
  <si>
    <t xml:space="preserve"> KW 13</t>
  </si>
  <si>
    <t xml:space="preserve"> bundesweit</t>
  </si>
  <si>
    <t xml:space="preserve">Ostermontag</t>
  </si>
  <si>
    <t xml:space="preserve"> KW 14</t>
  </si>
  <si>
    <t xml:space="preserve">Tag der Arbeit</t>
  </si>
  <si>
    <t xml:space="preserve"> KW 18</t>
  </si>
  <si>
    <t xml:space="preserve">Christi Himmelfahrt</t>
  </si>
  <si>
    <t xml:space="preserve"> KW 19</t>
  </si>
  <si>
    <t xml:space="preserve"> Brückentag möglich</t>
  </si>
  <si>
    <t xml:space="preserve">Pfingstmontag</t>
  </si>
  <si>
    <t xml:space="preserve"> KW 21</t>
  </si>
  <si>
    <t xml:space="preserve">Fronleichnam</t>
  </si>
  <si>
    <t xml:space="preserve"> KW 22</t>
  </si>
  <si>
    <t xml:space="preserve"> BaWü, Bay, Hes, NRW, Rh-Pf, Sa-La</t>
  </si>
  <si>
    <t xml:space="preserve">Mariä Himmelfahrt</t>
  </si>
  <si>
    <t xml:space="preserve"> KW 33</t>
  </si>
  <si>
    <t xml:space="preserve"> Bay, Sa-La</t>
  </si>
  <si>
    <t xml:space="preserve">Weltkindertag</t>
  </si>
  <si>
    <t xml:space="preserve"> KW 38</t>
  </si>
  <si>
    <t xml:space="preserve"> Thü</t>
  </si>
  <si>
    <t xml:space="preserve">Tag der Deutschen Einheit</t>
  </si>
  <si>
    <t xml:space="preserve"> KW 40</t>
  </si>
  <si>
    <t xml:space="preserve">Reformationstag</t>
  </si>
  <si>
    <t xml:space="preserve"> KW 44</t>
  </si>
  <si>
    <t xml:space="preserve">BB, HH, MV, Sa, Sa-An, S-H, Thü</t>
  </si>
  <si>
    <t xml:space="preserve">Allerheiligen</t>
  </si>
  <si>
    <t xml:space="preserve"> BaWü, Bay, NRW, Rh-Pf, Sa-La</t>
  </si>
  <si>
    <t xml:space="preserve">Buß- und Bettag</t>
  </si>
  <si>
    <t xml:space="preserve"> KW 47</t>
  </si>
  <si>
    <t xml:space="preserve"> Sa.</t>
  </si>
  <si>
    <t xml:space="preserve">1. Weihnachtstag</t>
  </si>
  <si>
    <t xml:space="preserve"> KW 52</t>
  </si>
  <si>
    <t xml:space="preserve">2. Weihnachtstag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</si>
</sst>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@"/>
    <numFmt numFmtId="167" formatCode="0\ %"/>
    <numFmt numFmtId="168" formatCode="[$-F800]dddd&quot;, &quot;mmmm\ dd&quot;, &quot;yyyy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name val="Alegreya Sans"/>
      <family val="3"/>
      <charset val="1"/>
    </font>
    <font>
      <b val="true"/>
      <sz val="9"/>
      <name val="Alegreya Sans"/>
      <family val="3"/>
      <charset val="1"/>
    </font>
    <font>
      <sz val="10"/>
      <color rgb="FFC9211E"/>
      <name val="Alegreya Sans"/>
      <family val="3"/>
      <charset val="1"/>
    </font>
    <font>
      <sz val="9"/>
      <name val="Alegreya Sans"/>
      <family val="3"/>
      <charset val="1"/>
    </font>
    <font>
      <sz val="8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B2B2B2"/>
        <bgColor rgb="FFAFD095"/>
      </patternFill>
    </fill>
    <fill>
      <patternFill patternType="solid">
        <fgColor rgb="FFFF8000"/>
        <bgColor rgb="FFED7D31"/>
      </patternFill>
    </fill>
    <fill>
      <patternFill patternType="solid">
        <fgColor rgb="FFFF4000"/>
        <bgColor rgb="FFC9211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C0000"/>
      </patternFill>
    </fill>
    <fill>
      <patternFill patternType="solid">
        <fgColor rgb="FFAFD095"/>
        <bgColor rgb="FFA9D18E"/>
      </patternFill>
    </fill>
    <fill>
      <patternFill patternType="solid">
        <fgColor theme="4"/>
        <bgColor rgb="FF666699"/>
      </patternFill>
    </fill>
    <fill>
      <patternFill patternType="solid">
        <fgColor theme="5"/>
        <bgColor rgb="FFFF8000"/>
      </patternFill>
    </fill>
    <fill>
      <patternFill patternType="solid">
        <fgColor theme="0" tint="-0.5"/>
        <bgColor rgb="FF666699"/>
      </patternFill>
    </fill>
    <fill>
      <patternFill patternType="solid">
        <fgColor theme="9" tint="-0.25"/>
        <bgColor rgb="FF339966"/>
      </patternFill>
    </fill>
    <fill>
      <patternFill patternType="solid">
        <fgColor theme="9" tint="0.3999"/>
        <bgColor rgb="FFAFD095"/>
      </patternFill>
    </fill>
    <fill>
      <patternFill patternType="solid">
        <fgColor theme="4" tint="-0.5"/>
        <bgColor rgb="FF333333"/>
      </patternFill>
    </fill>
    <fill>
      <patternFill patternType="solid">
        <fgColor theme="5" tint="-0.5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DEDCE6"/>
        <bgColor rgb="FFDDDDDD"/>
      </patternFill>
    </fill>
    <fill>
      <patternFill patternType="solid">
        <fgColor rgb="FFDDDDDD"/>
        <bgColor rgb="FFDEDCE6"/>
      </patternFill>
    </fill>
    <fill>
      <patternFill patternType="solid">
        <fgColor rgb="FF81D41A"/>
        <bgColor rgb="FF70AD47"/>
      </patternFill>
    </fill>
    <fill>
      <patternFill patternType="solid">
        <fgColor theme="5" tint="0.3999"/>
        <bgColor rgb="FFFF99CC"/>
      </patternFill>
    </fill>
    <fill>
      <patternFill patternType="solid">
        <fgColor rgb="FFC00000"/>
        <bgColor rgb="FFCC0000"/>
      </patternFill>
    </fill>
    <fill>
      <patternFill patternType="solid">
        <fgColor theme="9"/>
        <bgColor rgb="FF81D41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>
        <color rgb="FFFF8000"/>
      </bottom>
      <diagonal/>
    </border>
    <border diagonalUp="false" diagonalDown="false">
      <left/>
      <right style="thin">
        <color rgb="FFFF8000"/>
      </right>
      <top style="thin">
        <color rgb="FFFF8000"/>
      </top>
      <bottom/>
      <diagonal/>
    </border>
    <border diagonalUp="false" diagonalDown="false">
      <left/>
      <right style="thin">
        <color rgb="FFFF8000"/>
      </right>
      <top/>
      <bottom/>
      <diagonal/>
    </border>
    <border diagonalUp="false" diagonalDown="false">
      <left/>
      <right/>
      <top style="thin">
        <color rgb="FFFF8000"/>
      </top>
      <bottom/>
      <diagonal/>
    </border>
    <border diagonalUp="false" diagonalDown="false">
      <left/>
      <right style="thin">
        <color rgb="FFFF8000"/>
      </right>
      <top/>
      <bottom style="thin">
        <color rgb="FFFF8000"/>
      </bottom>
      <diagonal/>
    </border>
    <border diagonalUp="false" diagonalDown="false">
      <left style="thin">
        <color rgb="FFFF8000"/>
      </left>
      <right/>
      <top style="thin">
        <color rgb="FFFF8000"/>
      </top>
      <bottom/>
      <diagonal/>
    </border>
    <border diagonalUp="false" diagonalDown="false">
      <left style="thin">
        <color rgb="FFFF800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9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9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9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90" wrapText="false" indent="0" shrinkToFit="false"/>
      <protection locked="true" hidden="false"/>
    </xf>
    <xf numFmtId="165" fontId="0" fillId="20" borderId="0" xfId="0" applyFont="false" applyBorder="false" applyAlignment="true" applyProtection="true">
      <alignment horizontal="right" vertical="bottom" textRotation="9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2"/>
        <b val="1"/>
        <color rgb="FFFF0000"/>
      </font>
    </dxf>
    <dxf>
      <font>
        <name val="Arial"/>
        <charset val="1"/>
        <family val="2"/>
        <b val="1"/>
        <color rgb="FFFF0000"/>
      </font>
    </dxf>
    <dxf>
      <font>
        <name val="Arial"/>
        <charset val="1"/>
        <family val="2"/>
        <b val="1"/>
        <color rgb="FFFF0000"/>
      </font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2B2B2"/>
      <rgbColor rgb="FF808080"/>
      <rgbColor rgb="FF9999FF"/>
      <rgbColor rgb="FFC9211E"/>
      <rgbColor rgb="FFFFFFCC"/>
      <rgbColor rgb="FFA9D18E"/>
      <rgbColor rgb="FF660066"/>
      <rgbColor rgb="FFFF4000"/>
      <rgbColor rgb="FF0066CC"/>
      <rgbColor rgb="FFDEDCE6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DDDDDD"/>
      <rgbColor rgb="FFFFFF99"/>
      <rgbColor rgb="FFAFD095"/>
      <rgbColor rgb="FFFF99CC"/>
      <rgbColor rgb="FFCC99FF"/>
      <rgbColor rgb="FFF4B183"/>
      <rgbColor rgb="FF4472C4"/>
      <rgbColor rgb="FF33CCCC"/>
      <rgbColor rgb="FF81D41A"/>
      <rgbColor rgb="FFFFCC00"/>
      <rgbColor rgb="FFFF8000"/>
      <rgbColor rgb="FFED7D31"/>
      <rgbColor rgb="FF666699"/>
      <rgbColor rgb="FF70AD47"/>
      <rgbColor rgb="FF203864"/>
      <rgbColor rgb="FF339966"/>
      <rgbColor rgb="FF003300"/>
      <rgbColor rgb="FF333300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36</xdr:col>
      <xdr:colOff>64440</xdr:colOff>
      <xdr:row>7</xdr:row>
      <xdr:rowOff>154440</xdr:rowOff>
    </xdr:from>
    <xdr:to>
      <xdr:col>36</xdr:col>
      <xdr:colOff>200520</xdr:colOff>
      <xdr:row>8</xdr:row>
      <xdr:rowOff>161280</xdr:rowOff>
    </xdr:to>
    <xdr:sp>
      <xdr:nvSpPr>
        <xdr:cNvPr id="0" name="Form 1"/>
        <xdr:cNvSpPr/>
      </xdr:nvSpPr>
      <xdr:spPr>
        <a:xfrm>
          <a:off x="9848520" y="1618920"/>
          <a:ext cx="136080" cy="168480"/>
        </a:xfrm>
        <a:prstGeom prst="diamond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250200</xdr:colOff>
      <xdr:row>2</xdr:row>
      <xdr:rowOff>21240</xdr:rowOff>
    </xdr:from>
    <xdr:to>
      <xdr:col>29</xdr:col>
      <xdr:colOff>243360</xdr:colOff>
      <xdr:row>2</xdr:row>
      <xdr:rowOff>147600</xdr:rowOff>
    </xdr:to>
    <xdr:sp>
      <xdr:nvSpPr>
        <xdr:cNvPr id="1" name="Form 2"/>
        <xdr:cNvSpPr/>
      </xdr:nvSpPr>
      <xdr:spPr>
        <a:xfrm>
          <a:off x="1609200" y="676080"/>
          <a:ext cx="6515640" cy="126360"/>
        </a:xfrm>
        <a:prstGeom prst="leftRightArrow">
          <a:avLst>
            <a:gd name="adj1" fmla="val 77273"/>
            <a:gd name="adj2" fmla="val 237879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360</xdr:colOff>
      <xdr:row>6</xdr:row>
      <xdr:rowOff>10440</xdr:rowOff>
    </xdr:from>
    <xdr:to>
      <xdr:col>51</xdr:col>
      <xdr:colOff>14400</xdr:colOff>
      <xdr:row>6</xdr:row>
      <xdr:rowOff>136800</xdr:rowOff>
    </xdr:to>
    <xdr:sp>
      <xdr:nvSpPr>
        <xdr:cNvPr id="2" name="Form 3"/>
        <xdr:cNvSpPr/>
      </xdr:nvSpPr>
      <xdr:spPr>
        <a:xfrm>
          <a:off x="6523200" y="1312920"/>
          <a:ext cx="7351920" cy="126360"/>
        </a:xfrm>
        <a:prstGeom prst="leftRightArrow">
          <a:avLst>
            <a:gd name="adj1" fmla="val 77273"/>
            <a:gd name="adj2" fmla="val 268410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6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Q1" activeCellId="1" sqref="AH5:AH6 BQ1"/>
    </sheetView>
  </sheetViews>
  <sheetFormatPr defaultColWidth="3.859375" defaultRowHeight="12.75" customHeight="true" zeroHeight="false" outlineLevelRow="0" outlineLevelCol="0"/>
  <cols>
    <col collapsed="false" customWidth="true" hidden="false" outlineLevel="0" max="1" min="1" style="1" width="4.57"/>
    <col collapsed="false" customWidth="false" hidden="false" outlineLevel="0" max="7" min="2" style="1" width="3.86"/>
    <col collapsed="false" customWidth="true" hidden="false" outlineLevel="0" max="8" min="8" style="1" width="4.17"/>
    <col collapsed="false" customWidth="false" hidden="false" outlineLevel="0" max="9" min="9" style="1" width="3.86"/>
    <col collapsed="false" customWidth="true" hidden="false" outlineLevel="0" max="10" min="10" style="1" width="3.5"/>
    <col collapsed="false" customWidth="true" hidden="false" outlineLevel="0" max="11" min="11" style="1" width="4.11"/>
    <col collapsed="false" customWidth="false" hidden="false" outlineLevel="0" max="12" min="12" style="1" width="3.86"/>
    <col collapsed="false" customWidth="true" hidden="false" outlineLevel="0" max="13" min="13" style="1" width="4.42"/>
    <col collapsed="false" customWidth="false" hidden="false" outlineLevel="0" max="16384" min="14" style="1" width="3.86"/>
  </cols>
  <sheetData>
    <row r="1" customFormat="false" ht="38.8" hidden="false" customHeight="false" outlineLevel="0" collapsed="false">
      <c r="A1" s="2" t="s">
        <v>0</v>
      </c>
      <c r="B1" s="2" t="s">
        <v>1</v>
      </c>
      <c r="C1" s="2"/>
      <c r="D1" s="2"/>
      <c r="E1" s="2" t="s">
        <v>2</v>
      </c>
      <c r="F1" s="3"/>
      <c r="G1" s="4" t="n">
        <v>45775</v>
      </c>
      <c r="H1" s="4" t="n">
        <v>45776</v>
      </c>
      <c r="I1" s="4" t="n">
        <v>45777</v>
      </c>
      <c r="J1" s="5" t="n">
        <v>45778</v>
      </c>
      <c r="K1" s="4" t="n">
        <v>45779</v>
      </c>
      <c r="L1" s="5" t="n">
        <v>45780</v>
      </c>
      <c r="M1" s="5" t="n">
        <v>45781</v>
      </c>
      <c r="N1" s="4" t="n">
        <v>45782</v>
      </c>
      <c r="O1" s="4" t="n">
        <v>45783</v>
      </c>
      <c r="P1" s="4" t="n">
        <v>45784</v>
      </c>
      <c r="Q1" s="4" t="n">
        <v>45785</v>
      </c>
      <c r="R1" s="4" t="n">
        <v>45786</v>
      </c>
      <c r="S1" s="5" t="n">
        <v>45787</v>
      </c>
      <c r="T1" s="5" t="n">
        <v>45788</v>
      </c>
      <c r="U1" s="4" t="n">
        <v>45789</v>
      </c>
      <c r="V1" s="4" t="n">
        <v>45790</v>
      </c>
      <c r="W1" s="4" t="n">
        <v>45791</v>
      </c>
      <c r="X1" s="4" t="n">
        <v>45792</v>
      </c>
      <c r="Y1" s="4" t="n">
        <v>45793</v>
      </c>
      <c r="Z1" s="5" t="n">
        <v>45794</v>
      </c>
      <c r="AA1" s="5" t="n">
        <v>45795</v>
      </c>
      <c r="AB1" s="4" t="n">
        <v>45796</v>
      </c>
      <c r="AC1" s="4" t="n">
        <v>45797</v>
      </c>
      <c r="AD1" s="4" t="n">
        <v>45798</v>
      </c>
      <c r="AE1" s="4" t="n">
        <v>45799</v>
      </c>
      <c r="AF1" s="4" t="n">
        <v>45800</v>
      </c>
      <c r="AG1" s="5" t="n">
        <v>45801</v>
      </c>
      <c r="AH1" s="5" t="n">
        <v>45802</v>
      </c>
      <c r="AI1" s="4" t="n">
        <v>45803</v>
      </c>
      <c r="AJ1" s="4" t="n">
        <v>45804</v>
      </c>
      <c r="AK1" s="4" t="n">
        <v>45805</v>
      </c>
      <c r="AL1" s="5" t="n">
        <v>45806</v>
      </c>
      <c r="AM1" s="6" t="n">
        <v>45807</v>
      </c>
      <c r="AN1" s="5" t="n">
        <v>45808</v>
      </c>
      <c r="AO1" s="5" t="n">
        <v>45809</v>
      </c>
      <c r="AP1" s="4" t="n">
        <v>45810</v>
      </c>
      <c r="AQ1" s="4" t="n">
        <v>45811</v>
      </c>
      <c r="AR1" s="4" t="n">
        <v>45812</v>
      </c>
      <c r="AS1" s="4" t="n">
        <v>45813</v>
      </c>
      <c r="AT1" s="4" t="n">
        <v>45814</v>
      </c>
      <c r="AU1" s="5" t="n">
        <v>45815</v>
      </c>
      <c r="AV1" s="5" t="n">
        <v>45816</v>
      </c>
      <c r="AW1" s="5" t="n">
        <v>45817</v>
      </c>
      <c r="AX1" s="4" t="n">
        <v>45818</v>
      </c>
      <c r="AY1" s="4" t="n">
        <v>45819</v>
      </c>
      <c r="AZ1" s="4" t="n">
        <v>45820</v>
      </c>
      <c r="BA1" s="4" t="n">
        <v>45821</v>
      </c>
      <c r="BB1" s="5" t="n">
        <v>45822</v>
      </c>
      <c r="BC1" s="5" t="n">
        <v>45823</v>
      </c>
      <c r="BD1" s="4" t="n">
        <v>45824</v>
      </c>
      <c r="BE1" s="4" t="n">
        <v>45825</v>
      </c>
      <c r="BF1" s="4" t="n">
        <v>45826</v>
      </c>
      <c r="BG1" s="5" t="n">
        <v>45827</v>
      </c>
      <c r="BH1" s="4" t="n">
        <v>45828</v>
      </c>
      <c r="BI1" s="5" t="n">
        <v>45829</v>
      </c>
      <c r="BJ1" s="5" t="n">
        <v>45830</v>
      </c>
      <c r="BK1" s="4" t="n">
        <v>45831</v>
      </c>
      <c r="BL1" s="4" t="n">
        <v>45832</v>
      </c>
      <c r="BM1" s="4" t="n">
        <v>45833</v>
      </c>
      <c r="BN1" s="4" t="n">
        <v>45834</v>
      </c>
      <c r="BO1" s="4" t="n">
        <v>45835</v>
      </c>
      <c r="BP1" s="5" t="n">
        <v>45836</v>
      </c>
      <c r="BQ1" s="5" t="n">
        <v>45837</v>
      </c>
      <c r="BR1" s="4"/>
      <c r="BS1" s="4"/>
      <c r="BT1" s="4"/>
      <c r="BU1" s="4"/>
      <c r="BV1" s="4"/>
    </row>
    <row r="2" customFormat="false" ht="12.75" hidden="false" customHeight="false" outlineLevel="0" collapsed="false">
      <c r="A2" s="7" t="s">
        <v>3</v>
      </c>
      <c r="B2" s="8" t="s">
        <v>4</v>
      </c>
      <c r="C2" s="8" t="s">
        <v>5</v>
      </c>
      <c r="D2" s="8"/>
      <c r="E2" s="7" t="n">
        <v>2</v>
      </c>
      <c r="F2" s="3"/>
      <c r="G2" s="9"/>
      <c r="H2" s="9"/>
      <c r="I2" s="3"/>
      <c r="J2" s="10"/>
      <c r="K2" s="3"/>
      <c r="L2" s="10"/>
      <c r="M2" s="10"/>
      <c r="N2" s="3"/>
      <c r="O2" s="3"/>
      <c r="P2" s="3"/>
      <c r="Q2" s="3"/>
      <c r="R2" s="3"/>
      <c r="S2" s="10"/>
      <c r="T2" s="10"/>
      <c r="U2" s="3"/>
      <c r="V2" s="3"/>
      <c r="W2" s="3"/>
      <c r="X2" s="3"/>
      <c r="Y2" s="3"/>
      <c r="Z2" s="10"/>
      <c r="AA2" s="10"/>
      <c r="AB2" s="3"/>
      <c r="AC2" s="3"/>
      <c r="AD2" s="3"/>
      <c r="AE2" s="3"/>
      <c r="AF2" s="3"/>
      <c r="AG2" s="10"/>
      <c r="AH2" s="10"/>
      <c r="AI2" s="3"/>
      <c r="AJ2" s="3"/>
      <c r="AK2" s="3"/>
      <c r="AL2" s="10"/>
      <c r="AM2" s="11"/>
      <c r="AN2" s="10"/>
      <c r="AO2" s="10"/>
      <c r="AP2" s="3"/>
      <c r="AQ2" s="3"/>
      <c r="AR2" s="3"/>
      <c r="AS2" s="3"/>
      <c r="AT2" s="3"/>
      <c r="AU2" s="10"/>
      <c r="AV2" s="10"/>
      <c r="AW2" s="10"/>
      <c r="AX2" s="3"/>
      <c r="AY2" s="3"/>
      <c r="AZ2" s="3"/>
      <c r="BA2" s="3"/>
      <c r="BB2" s="10"/>
      <c r="BC2" s="10"/>
      <c r="BD2" s="3"/>
      <c r="BE2" s="3"/>
      <c r="BF2" s="3"/>
      <c r="BG2" s="10"/>
      <c r="BH2" s="3"/>
      <c r="BI2" s="10"/>
      <c r="BJ2" s="10"/>
      <c r="BK2" s="3"/>
      <c r="BL2" s="3"/>
      <c r="BM2" s="3"/>
      <c r="BN2" s="3"/>
      <c r="BO2" s="3"/>
      <c r="BP2" s="10"/>
      <c r="BQ2" s="10"/>
      <c r="BR2" s="3"/>
      <c r="BS2" s="3"/>
      <c r="BT2" s="3"/>
      <c r="BU2" s="3"/>
      <c r="BV2" s="3"/>
    </row>
    <row r="3" customFormat="false" ht="12.75" hidden="false" customHeight="false" outlineLevel="0" collapsed="false">
      <c r="A3" s="7" t="s">
        <v>4</v>
      </c>
      <c r="B3" s="8" t="s">
        <v>2</v>
      </c>
      <c r="C3" s="8"/>
      <c r="D3" s="8"/>
      <c r="E3" s="7" t="n">
        <v>8</v>
      </c>
      <c r="F3" s="3"/>
      <c r="G3" s="3"/>
      <c r="H3" s="3"/>
      <c r="I3" s="9"/>
      <c r="J3" s="10"/>
      <c r="K3" s="9"/>
      <c r="L3" s="10"/>
      <c r="M3" s="10"/>
      <c r="N3" s="9"/>
      <c r="O3" s="9"/>
      <c r="P3" s="9"/>
      <c r="Q3" s="9"/>
      <c r="R3" s="9"/>
      <c r="S3" s="10"/>
      <c r="T3" s="10"/>
      <c r="U3" s="9"/>
      <c r="V3" s="3"/>
      <c r="W3" s="3"/>
      <c r="X3" s="3"/>
      <c r="Y3" s="3"/>
      <c r="Z3" s="10"/>
      <c r="AA3" s="10"/>
      <c r="AB3" s="3"/>
      <c r="AC3" s="3"/>
      <c r="AD3" s="3"/>
      <c r="AE3" s="3"/>
      <c r="AF3" s="3"/>
      <c r="AG3" s="10"/>
      <c r="AH3" s="10"/>
      <c r="AI3" s="3"/>
      <c r="AJ3" s="3"/>
      <c r="AK3" s="3"/>
      <c r="AL3" s="10"/>
      <c r="AM3" s="11"/>
      <c r="AN3" s="10"/>
      <c r="AO3" s="10"/>
      <c r="AP3" s="3"/>
      <c r="AQ3" s="3"/>
      <c r="AR3" s="3"/>
      <c r="AS3" s="3"/>
      <c r="AT3" s="3"/>
      <c r="AU3" s="10"/>
      <c r="AV3" s="10"/>
      <c r="AW3" s="10"/>
      <c r="AX3" s="3"/>
      <c r="AY3" s="3"/>
      <c r="AZ3" s="3"/>
      <c r="BA3" s="3"/>
      <c r="BB3" s="10"/>
      <c r="BC3" s="10"/>
      <c r="BD3" s="3"/>
      <c r="BE3" s="3"/>
      <c r="BF3" s="3"/>
      <c r="BG3" s="10"/>
      <c r="BH3" s="3"/>
      <c r="BI3" s="10"/>
      <c r="BJ3" s="10"/>
      <c r="BK3" s="3"/>
      <c r="BL3" s="3"/>
      <c r="BM3" s="3"/>
      <c r="BN3" s="3"/>
      <c r="BO3" s="3"/>
      <c r="BP3" s="10"/>
      <c r="BQ3" s="10"/>
      <c r="BR3" s="3"/>
      <c r="BS3" s="3"/>
      <c r="BT3" s="3"/>
      <c r="BU3" s="3"/>
      <c r="BV3" s="3"/>
    </row>
    <row r="4" customFormat="false" ht="12.75" hidden="false" customHeight="false" outlineLevel="0" collapsed="false">
      <c r="A4" s="7" t="s">
        <v>5</v>
      </c>
      <c r="B4" s="8" t="s">
        <v>6</v>
      </c>
      <c r="C4" s="8" t="s">
        <v>7</v>
      </c>
      <c r="D4" s="8"/>
      <c r="E4" s="7" t="n">
        <v>8</v>
      </c>
      <c r="F4" s="3"/>
      <c r="G4" s="3"/>
      <c r="H4" s="3"/>
      <c r="I4" s="12"/>
      <c r="J4" s="10"/>
      <c r="K4" s="12"/>
      <c r="L4" s="10"/>
      <c r="M4" s="10"/>
      <c r="N4" s="12"/>
      <c r="O4" s="12"/>
      <c r="P4" s="12"/>
      <c r="Q4" s="12"/>
      <c r="R4" s="12"/>
      <c r="S4" s="10"/>
      <c r="T4" s="10"/>
      <c r="U4" s="12"/>
      <c r="V4" s="3"/>
      <c r="W4" s="3"/>
      <c r="X4" s="3"/>
      <c r="Y4" s="3"/>
      <c r="Z4" s="10"/>
      <c r="AA4" s="10"/>
      <c r="AB4" s="3"/>
      <c r="AC4" s="3"/>
      <c r="AD4" s="3"/>
      <c r="AE4" s="3"/>
      <c r="AF4" s="3"/>
      <c r="AG4" s="10"/>
      <c r="AH4" s="10"/>
      <c r="AI4" s="3"/>
      <c r="AJ4" s="3"/>
      <c r="AK4" s="3"/>
      <c r="AL4" s="10"/>
      <c r="AM4" s="11"/>
      <c r="AN4" s="10"/>
      <c r="AO4" s="10"/>
      <c r="AP4" s="3"/>
      <c r="AQ4" s="3"/>
      <c r="AR4" s="3"/>
      <c r="AS4" s="3"/>
      <c r="AT4" s="3"/>
      <c r="AU4" s="10"/>
      <c r="AV4" s="10"/>
      <c r="AW4" s="10"/>
      <c r="AX4" s="3"/>
      <c r="AY4" s="3"/>
      <c r="AZ4" s="3"/>
      <c r="BA4" s="3"/>
      <c r="BB4" s="10"/>
      <c r="BC4" s="10"/>
      <c r="BD4" s="3"/>
      <c r="BE4" s="3"/>
      <c r="BF4" s="3"/>
      <c r="BG4" s="10"/>
      <c r="BH4" s="3"/>
      <c r="BI4" s="10"/>
      <c r="BJ4" s="10"/>
      <c r="BK4" s="3"/>
      <c r="BL4" s="3"/>
      <c r="BM4" s="3"/>
      <c r="BN4" s="3"/>
      <c r="BO4" s="3"/>
      <c r="BP4" s="10"/>
      <c r="BQ4" s="10"/>
      <c r="BR4" s="3"/>
      <c r="BS4" s="3"/>
      <c r="BT4" s="3"/>
      <c r="BU4" s="3"/>
      <c r="BV4" s="3"/>
    </row>
    <row r="5" customFormat="false" ht="12.75" hidden="false" customHeight="false" outlineLevel="0" collapsed="false">
      <c r="A5" s="7" t="s">
        <v>2</v>
      </c>
      <c r="B5" s="8" t="s">
        <v>8</v>
      </c>
      <c r="C5" s="8"/>
      <c r="D5" s="8"/>
      <c r="E5" s="7" t="n">
        <v>6</v>
      </c>
      <c r="F5" s="3"/>
      <c r="G5" s="3"/>
      <c r="H5" s="3"/>
      <c r="I5" s="3"/>
      <c r="J5" s="10"/>
      <c r="K5" s="3"/>
      <c r="L5" s="10"/>
      <c r="M5" s="10"/>
      <c r="N5" s="3"/>
      <c r="O5" s="3"/>
      <c r="P5" s="3"/>
      <c r="Q5" s="3"/>
      <c r="R5" s="3"/>
      <c r="S5" s="10"/>
      <c r="T5" s="10"/>
      <c r="U5" s="3"/>
      <c r="V5" s="9"/>
      <c r="W5" s="9"/>
      <c r="X5" s="9"/>
      <c r="Y5" s="9"/>
      <c r="Z5" s="10"/>
      <c r="AA5" s="10"/>
      <c r="AB5" s="9"/>
      <c r="AC5" s="9"/>
      <c r="AD5" s="3"/>
      <c r="AE5" s="3"/>
      <c r="AF5" s="3"/>
      <c r="AG5" s="10"/>
      <c r="AH5" s="10"/>
      <c r="AI5" s="3"/>
      <c r="AJ5" s="3"/>
      <c r="AK5" s="3"/>
      <c r="AL5" s="10"/>
      <c r="AM5" s="11"/>
      <c r="AN5" s="10"/>
      <c r="AO5" s="10"/>
      <c r="AP5" s="3"/>
      <c r="AQ5" s="3"/>
      <c r="AR5" s="3"/>
      <c r="AS5" s="3"/>
      <c r="AT5" s="3"/>
      <c r="AU5" s="10"/>
      <c r="AV5" s="10"/>
      <c r="AW5" s="10"/>
      <c r="AX5" s="3"/>
      <c r="AY5" s="3"/>
      <c r="AZ5" s="3"/>
      <c r="BA5" s="3"/>
      <c r="BB5" s="10"/>
      <c r="BC5" s="10"/>
      <c r="BD5" s="3"/>
      <c r="BE5" s="3"/>
      <c r="BF5" s="3"/>
      <c r="BG5" s="10"/>
      <c r="BH5" s="3"/>
      <c r="BI5" s="10"/>
      <c r="BJ5" s="10"/>
      <c r="BK5" s="3"/>
      <c r="BL5" s="3"/>
      <c r="BM5" s="3"/>
      <c r="BN5" s="3"/>
      <c r="BO5" s="3"/>
      <c r="BP5" s="10"/>
      <c r="BQ5" s="10"/>
      <c r="BR5" s="3"/>
      <c r="BS5" s="3"/>
      <c r="BT5" s="3"/>
      <c r="BU5" s="3"/>
      <c r="BV5" s="3"/>
    </row>
    <row r="6" customFormat="false" ht="12.75" hidden="false" customHeight="false" outlineLevel="0" collapsed="false">
      <c r="A6" s="7" t="s">
        <v>6</v>
      </c>
      <c r="B6" s="8" t="s">
        <v>9</v>
      </c>
      <c r="C6" s="8"/>
      <c r="D6" s="8"/>
      <c r="E6" s="7" t="n">
        <v>8</v>
      </c>
      <c r="F6" s="3"/>
      <c r="G6" s="3"/>
      <c r="H6" s="3"/>
      <c r="I6" s="3"/>
      <c r="J6" s="10"/>
      <c r="K6" s="3"/>
      <c r="L6" s="10"/>
      <c r="M6" s="10"/>
      <c r="N6" s="3"/>
      <c r="O6" s="3"/>
      <c r="P6" s="3"/>
      <c r="Q6" s="3"/>
      <c r="R6" s="3"/>
      <c r="S6" s="10"/>
      <c r="T6" s="10"/>
      <c r="U6" s="3"/>
      <c r="V6" s="12"/>
      <c r="W6" s="12"/>
      <c r="X6" s="12"/>
      <c r="Y6" s="12"/>
      <c r="Z6" s="10"/>
      <c r="AA6" s="10"/>
      <c r="AB6" s="12"/>
      <c r="AC6" s="12"/>
      <c r="AD6" s="12"/>
      <c r="AE6" s="12"/>
      <c r="AF6" s="3"/>
      <c r="AG6" s="10"/>
      <c r="AH6" s="10"/>
      <c r="AI6" s="3"/>
      <c r="AJ6" s="3"/>
      <c r="AK6" s="3"/>
      <c r="AL6" s="10"/>
      <c r="AM6" s="11"/>
      <c r="AN6" s="10"/>
      <c r="AO6" s="10"/>
      <c r="AP6" s="3"/>
      <c r="AQ6" s="3"/>
      <c r="AR6" s="3"/>
      <c r="AS6" s="3"/>
      <c r="AT6" s="3"/>
      <c r="AU6" s="10"/>
      <c r="AV6" s="10"/>
      <c r="AW6" s="10"/>
      <c r="AX6" s="3"/>
      <c r="AY6" s="3"/>
      <c r="AZ6" s="3"/>
      <c r="BA6" s="3"/>
      <c r="BB6" s="10"/>
      <c r="BC6" s="10"/>
      <c r="BD6" s="3"/>
      <c r="BE6" s="3"/>
      <c r="BF6" s="3"/>
      <c r="BG6" s="10"/>
      <c r="BH6" s="3"/>
      <c r="BI6" s="10"/>
      <c r="BJ6" s="10"/>
      <c r="BK6" s="3"/>
      <c r="BL6" s="3"/>
      <c r="BM6" s="3"/>
      <c r="BN6" s="3"/>
      <c r="BO6" s="3"/>
      <c r="BP6" s="10"/>
      <c r="BQ6" s="10"/>
      <c r="BR6" s="3"/>
      <c r="BS6" s="3"/>
      <c r="BT6" s="3"/>
      <c r="BU6" s="3"/>
      <c r="BV6" s="3"/>
    </row>
    <row r="7" customFormat="false" ht="12.75" hidden="false" customHeight="false" outlineLevel="0" collapsed="false">
      <c r="A7" s="7" t="s">
        <v>7</v>
      </c>
      <c r="B7" s="8" t="s">
        <v>10</v>
      </c>
      <c r="C7" s="8"/>
      <c r="D7" s="8"/>
      <c r="E7" s="7" t="n">
        <v>8</v>
      </c>
      <c r="F7" s="3"/>
      <c r="G7" s="3"/>
      <c r="H7" s="3"/>
      <c r="I7" s="3"/>
      <c r="J7" s="10"/>
      <c r="K7" s="3"/>
      <c r="L7" s="10"/>
      <c r="M7" s="10"/>
      <c r="N7" s="3"/>
      <c r="O7" s="3"/>
      <c r="P7" s="3"/>
      <c r="Q7" s="3"/>
      <c r="R7" s="3"/>
      <c r="S7" s="10"/>
      <c r="T7" s="10"/>
      <c r="U7" s="3"/>
      <c r="V7" s="12"/>
      <c r="W7" s="12"/>
      <c r="X7" s="12"/>
      <c r="Y7" s="12"/>
      <c r="Z7" s="10"/>
      <c r="AA7" s="10"/>
      <c r="AB7" s="12"/>
      <c r="AC7" s="12"/>
      <c r="AD7" s="12"/>
      <c r="AE7" s="12"/>
      <c r="AF7" s="3"/>
      <c r="AG7" s="10"/>
      <c r="AH7" s="10"/>
      <c r="AI7" s="3"/>
      <c r="AJ7" s="3"/>
      <c r="AK7" s="3"/>
      <c r="AL7" s="10"/>
      <c r="AM7" s="11"/>
      <c r="AN7" s="10"/>
      <c r="AO7" s="10"/>
      <c r="AP7" s="3"/>
      <c r="AQ7" s="3"/>
      <c r="AR7" s="3"/>
      <c r="AS7" s="3"/>
      <c r="AT7" s="3"/>
      <c r="AU7" s="10"/>
      <c r="AV7" s="10"/>
      <c r="AW7" s="10"/>
      <c r="AX7" s="3"/>
      <c r="AY7" s="3"/>
      <c r="AZ7" s="3"/>
      <c r="BA7" s="3"/>
      <c r="BB7" s="10"/>
      <c r="BC7" s="10"/>
      <c r="BD7" s="3"/>
      <c r="BE7" s="3"/>
      <c r="BF7" s="3"/>
      <c r="BG7" s="10"/>
      <c r="BH7" s="3"/>
      <c r="BI7" s="10"/>
      <c r="BJ7" s="10"/>
      <c r="BK7" s="3"/>
      <c r="BL7" s="3"/>
      <c r="BM7" s="3"/>
      <c r="BN7" s="3"/>
      <c r="BO7" s="3"/>
      <c r="BP7" s="10"/>
      <c r="BQ7" s="10"/>
      <c r="BR7" s="3"/>
      <c r="BS7" s="3"/>
      <c r="BT7" s="3"/>
      <c r="BU7" s="3"/>
      <c r="BV7" s="3"/>
    </row>
    <row r="8" customFormat="false" ht="12.75" hidden="false" customHeight="false" outlineLevel="0" collapsed="false">
      <c r="A8" s="7" t="s">
        <v>8</v>
      </c>
      <c r="B8" s="8" t="s">
        <v>11</v>
      </c>
      <c r="C8" s="8" t="s">
        <v>12</v>
      </c>
      <c r="D8" s="8"/>
      <c r="E8" s="7" t="n">
        <v>5</v>
      </c>
      <c r="F8" s="3"/>
      <c r="G8" s="3"/>
      <c r="H8" s="3"/>
      <c r="I8" s="3"/>
      <c r="J8" s="10"/>
      <c r="K8" s="3"/>
      <c r="L8" s="10"/>
      <c r="M8" s="10"/>
      <c r="N8" s="3"/>
      <c r="O8" s="3"/>
      <c r="P8" s="3"/>
      <c r="Q8" s="3"/>
      <c r="R8" s="3"/>
      <c r="S8" s="10"/>
      <c r="T8" s="10"/>
      <c r="U8" s="3"/>
      <c r="V8" s="3"/>
      <c r="W8" s="3"/>
      <c r="X8" s="3"/>
      <c r="Y8" s="3"/>
      <c r="Z8" s="10"/>
      <c r="AA8" s="10"/>
      <c r="AB8" s="3"/>
      <c r="AC8" s="3"/>
      <c r="AD8" s="9"/>
      <c r="AE8" s="9"/>
      <c r="AF8" s="9"/>
      <c r="AG8" s="10"/>
      <c r="AH8" s="10"/>
      <c r="AI8" s="9"/>
      <c r="AJ8" s="9"/>
      <c r="AK8" s="3"/>
      <c r="AL8" s="10"/>
      <c r="AM8" s="11"/>
      <c r="AN8" s="10"/>
      <c r="AO8" s="10"/>
      <c r="AP8" s="3"/>
      <c r="AQ8" s="3"/>
      <c r="AR8" s="3"/>
      <c r="AS8" s="3"/>
      <c r="AT8" s="3"/>
      <c r="AU8" s="10"/>
      <c r="AV8" s="10"/>
      <c r="AW8" s="10"/>
      <c r="AX8" s="3"/>
      <c r="AY8" s="3"/>
      <c r="AZ8" s="3"/>
      <c r="BA8" s="3"/>
      <c r="BB8" s="10"/>
      <c r="BC8" s="10"/>
      <c r="BD8" s="3"/>
      <c r="BE8" s="3"/>
      <c r="BF8" s="3"/>
      <c r="BG8" s="10"/>
      <c r="BH8" s="3"/>
      <c r="BI8" s="10"/>
      <c r="BJ8" s="10"/>
      <c r="BK8" s="3"/>
      <c r="BL8" s="3"/>
      <c r="BM8" s="3"/>
      <c r="BN8" s="3"/>
      <c r="BO8" s="3"/>
      <c r="BP8" s="10"/>
      <c r="BQ8" s="10"/>
      <c r="BR8" s="3"/>
      <c r="BS8" s="3"/>
      <c r="BT8" s="3"/>
      <c r="BU8" s="3"/>
      <c r="BV8" s="3"/>
    </row>
    <row r="9" customFormat="false" ht="12.75" hidden="false" customHeight="false" outlineLevel="0" collapsed="false">
      <c r="A9" s="7" t="s">
        <v>9</v>
      </c>
      <c r="B9" s="8" t="s">
        <v>13</v>
      </c>
      <c r="C9" s="8"/>
      <c r="D9" s="8"/>
      <c r="E9" s="7" t="n">
        <v>6</v>
      </c>
      <c r="F9" s="3"/>
      <c r="G9" s="3"/>
      <c r="H9" s="3"/>
      <c r="I9" s="3"/>
      <c r="J9" s="10"/>
      <c r="K9" s="3"/>
      <c r="L9" s="10"/>
      <c r="M9" s="10"/>
      <c r="N9" s="3"/>
      <c r="O9" s="3"/>
      <c r="P9" s="3"/>
      <c r="Q9" s="3"/>
      <c r="R9" s="3"/>
      <c r="S9" s="10"/>
      <c r="T9" s="10"/>
      <c r="U9" s="3"/>
      <c r="V9" s="3"/>
      <c r="W9" s="3"/>
      <c r="X9" s="3"/>
      <c r="Y9" s="3"/>
      <c r="Z9" s="10"/>
      <c r="AA9" s="10"/>
      <c r="AB9" s="3"/>
      <c r="AC9" s="3"/>
      <c r="AD9" s="3"/>
      <c r="AE9" s="3"/>
      <c r="AF9" s="12"/>
      <c r="AG9" s="10"/>
      <c r="AH9" s="10"/>
      <c r="AI9" s="12"/>
      <c r="AJ9" s="12"/>
      <c r="AK9" s="12"/>
      <c r="AL9" s="10"/>
      <c r="AM9" s="11"/>
      <c r="AN9" s="10"/>
      <c r="AO9" s="10"/>
      <c r="AP9" s="12"/>
      <c r="AQ9" s="12"/>
      <c r="AR9" s="3"/>
      <c r="AS9" s="3"/>
      <c r="AT9" s="3"/>
      <c r="AU9" s="10"/>
      <c r="AV9" s="10"/>
      <c r="AW9" s="10"/>
      <c r="AX9" s="3"/>
      <c r="AY9" s="3"/>
      <c r="AZ9" s="3"/>
      <c r="BA9" s="3"/>
      <c r="BB9" s="10"/>
      <c r="BC9" s="10"/>
      <c r="BD9" s="3"/>
      <c r="BE9" s="3"/>
      <c r="BF9" s="3"/>
      <c r="BG9" s="10"/>
      <c r="BH9" s="3"/>
      <c r="BI9" s="10"/>
      <c r="BJ9" s="10"/>
      <c r="BK9" s="3"/>
      <c r="BL9" s="3"/>
      <c r="BM9" s="3"/>
      <c r="BN9" s="3"/>
      <c r="BO9" s="3"/>
      <c r="BP9" s="10"/>
      <c r="BQ9" s="10"/>
      <c r="BR9" s="3"/>
      <c r="BS9" s="3"/>
      <c r="BT9" s="3"/>
      <c r="BU9" s="3"/>
      <c r="BV9" s="3"/>
    </row>
    <row r="10" customFormat="false" ht="12.75" hidden="false" customHeight="false" outlineLevel="0" collapsed="false">
      <c r="A10" s="7" t="s">
        <v>10</v>
      </c>
      <c r="B10" s="8" t="s">
        <v>13</v>
      </c>
      <c r="C10" s="8"/>
      <c r="D10" s="8"/>
      <c r="E10" s="7" t="n">
        <v>5</v>
      </c>
      <c r="F10" s="3"/>
      <c r="G10" s="3"/>
      <c r="H10" s="3"/>
      <c r="I10" s="3"/>
      <c r="J10" s="10"/>
      <c r="K10" s="3"/>
      <c r="L10" s="10"/>
      <c r="M10" s="10"/>
      <c r="N10" s="3"/>
      <c r="O10" s="3"/>
      <c r="P10" s="3"/>
      <c r="Q10" s="3"/>
      <c r="R10" s="3"/>
      <c r="S10" s="10"/>
      <c r="T10" s="10"/>
      <c r="U10" s="3"/>
      <c r="V10" s="3"/>
      <c r="W10" s="3"/>
      <c r="X10" s="3"/>
      <c r="Y10" s="3"/>
      <c r="Z10" s="10"/>
      <c r="AA10" s="10"/>
      <c r="AB10" s="3"/>
      <c r="AC10" s="3"/>
      <c r="AD10" s="3"/>
      <c r="AE10" s="3"/>
      <c r="AF10" s="12"/>
      <c r="AG10" s="10"/>
      <c r="AH10" s="10"/>
      <c r="AI10" s="12"/>
      <c r="AJ10" s="12"/>
      <c r="AK10" s="12"/>
      <c r="AL10" s="10"/>
      <c r="AM10" s="11"/>
      <c r="AN10" s="10"/>
      <c r="AO10" s="10"/>
      <c r="AP10" s="12"/>
      <c r="AQ10" s="3"/>
      <c r="AR10" s="3"/>
      <c r="AS10" s="3"/>
      <c r="AT10" s="3"/>
      <c r="AU10" s="10"/>
      <c r="AV10" s="10"/>
      <c r="AW10" s="10"/>
      <c r="AX10" s="3"/>
      <c r="AY10" s="3"/>
      <c r="AZ10" s="3"/>
      <c r="BA10" s="3"/>
      <c r="BB10" s="10"/>
      <c r="BC10" s="10"/>
      <c r="BD10" s="3"/>
      <c r="BE10" s="3"/>
      <c r="BF10" s="3"/>
      <c r="BG10" s="10"/>
      <c r="BH10" s="3"/>
      <c r="BI10" s="10"/>
      <c r="BJ10" s="10"/>
      <c r="BK10" s="3"/>
      <c r="BL10" s="3"/>
      <c r="BM10" s="3"/>
      <c r="BN10" s="3"/>
      <c r="BO10" s="3"/>
      <c r="BP10" s="10"/>
      <c r="BQ10" s="10"/>
      <c r="BR10" s="3"/>
      <c r="BS10" s="3"/>
      <c r="BT10" s="3"/>
      <c r="BU10" s="3"/>
      <c r="BV10" s="3"/>
    </row>
    <row r="11" customFormat="false" ht="12.75" hidden="false" customHeight="false" outlineLevel="0" collapsed="false">
      <c r="A11" s="7" t="s">
        <v>11</v>
      </c>
      <c r="B11" s="8" t="s">
        <v>14</v>
      </c>
      <c r="C11" s="8"/>
      <c r="D11" s="8"/>
      <c r="E11" s="7" t="n">
        <v>8</v>
      </c>
      <c r="F11" s="3"/>
      <c r="G11" s="3"/>
      <c r="H11" s="3"/>
      <c r="I11" s="3"/>
      <c r="J11" s="10"/>
      <c r="K11" s="3"/>
      <c r="L11" s="10"/>
      <c r="M11" s="10"/>
      <c r="N11" s="3"/>
      <c r="O11" s="3"/>
      <c r="P11" s="3"/>
      <c r="Q11" s="3"/>
      <c r="R11" s="3"/>
      <c r="S11" s="10"/>
      <c r="T11" s="10"/>
      <c r="U11" s="3"/>
      <c r="V11" s="3"/>
      <c r="W11" s="3"/>
      <c r="X11" s="3"/>
      <c r="Y11" s="3"/>
      <c r="Z11" s="10"/>
      <c r="AA11" s="10"/>
      <c r="AB11" s="3"/>
      <c r="AC11" s="3"/>
      <c r="AD11" s="3"/>
      <c r="AE11" s="3"/>
      <c r="AF11" s="3"/>
      <c r="AG11" s="10"/>
      <c r="AH11" s="10"/>
      <c r="AI11" s="3"/>
      <c r="AJ11" s="3"/>
      <c r="AK11" s="9"/>
      <c r="AL11" s="10"/>
      <c r="AM11" s="11"/>
      <c r="AN11" s="10"/>
      <c r="AO11" s="10"/>
      <c r="AP11" s="9"/>
      <c r="AQ11" s="9"/>
      <c r="AR11" s="9"/>
      <c r="AS11" s="9"/>
      <c r="AT11" s="9"/>
      <c r="AU11" s="10"/>
      <c r="AV11" s="10"/>
      <c r="AW11" s="10"/>
      <c r="AX11" s="9"/>
      <c r="AY11" s="9"/>
      <c r="AZ11" s="3"/>
      <c r="BA11" s="3"/>
      <c r="BB11" s="10"/>
      <c r="BC11" s="10"/>
      <c r="BD11" s="3"/>
      <c r="BE11" s="3"/>
      <c r="BF11" s="3"/>
      <c r="BG11" s="10"/>
      <c r="BH11" s="3"/>
      <c r="BI11" s="10"/>
      <c r="BJ11" s="10"/>
      <c r="BK11" s="3"/>
      <c r="BL11" s="3"/>
      <c r="BM11" s="3"/>
      <c r="BN11" s="3"/>
      <c r="BO11" s="3"/>
      <c r="BP11" s="10"/>
      <c r="BQ11" s="10"/>
      <c r="BR11" s="3"/>
      <c r="BS11" s="3"/>
      <c r="BT11" s="3"/>
      <c r="BU11" s="3"/>
      <c r="BV11" s="3"/>
    </row>
    <row r="12" customFormat="false" ht="12.75" hidden="false" customHeight="false" outlineLevel="0" collapsed="false">
      <c r="A12" s="7" t="s">
        <v>13</v>
      </c>
      <c r="B12" s="8" t="s">
        <v>14</v>
      </c>
      <c r="C12" s="8"/>
      <c r="D12" s="8"/>
      <c r="E12" s="7" t="n">
        <v>2</v>
      </c>
      <c r="F12" s="3"/>
      <c r="G12" s="3"/>
      <c r="H12" s="3"/>
      <c r="I12" s="3"/>
      <c r="J12" s="10"/>
      <c r="K12" s="3"/>
      <c r="L12" s="10"/>
      <c r="M12" s="10"/>
      <c r="N12" s="3"/>
      <c r="O12" s="3"/>
      <c r="P12" s="3"/>
      <c r="Q12" s="3"/>
      <c r="R12" s="3"/>
      <c r="S12" s="10"/>
      <c r="T12" s="10"/>
      <c r="U12" s="3"/>
      <c r="V12" s="3"/>
      <c r="W12" s="3"/>
      <c r="X12" s="3"/>
      <c r="Y12" s="3"/>
      <c r="Z12" s="10"/>
      <c r="AA12" s="10"/>
      <c r="AB12" s="3"/>
      <c r="AC12" s="3"/>
      <c r="AD12" s="3"/>
      <c r="AE12" s="3"/>
      <c r="AF12" s="3"/>
      <c r="AG12" s="10"/>
      <c r="AH12" s="10"/>
      <c r="AI12" s="3"/>
      <c r="AJ12" s="3"/>
      <c r="AK12" s="3"/>
      <c r="AL12" s="10"/>
      <c r="AM12" s="11"/>
      <c r="AN12" s="10"/>
      <c r="AO12" s="10"/>
      <c r="AP12" s="3"/>
      <c r="AQ12" s="3"/>
      <c r="AR12" s="12"/>
      <c r="AS12" s="12"/>
      <c r="AT12" s="3"/>
      <c r="AU12" s="10"/>
      <c r="AV12" s="10"/>
      <c r="AW12" s="10"/>
      <c r="AX12" s="3"/>
      <c r="AY12" s="3"/>
      <c r="AZ12" s="3"/>
      <c r="BA12" s="3"/>
      <c r="BB12" s="10"/>
      <c r="BC12" s="10"/>
      <c r="BD12" s="3"/>
      <c r="BE12" s="3"/>
      <c r="BF12" s="3"/>
      <c r="BG12" s="10"/>
      <c r="BH12" s="3"/>
      <c r="BI12" s="10"/>
      <c r="BJ12" s="10"/>
      <c r="BK12" s="3"/>
      <c r="BL12" s="3"/>
      <c r="BM12" s="3"/>
      <c r="BN12" s="3"/>
      <c r="BO12" s="3"/>
      <c r="BP12" s="10"/>
      <c r="BQ12" s="10"/>
      <c r="BR12" s="3"/>
      <c r="BS12" s="3"/>
      <c r="BT12" s="3"/>
      <c r="BU12" s="3"/>
      <c r="BV12" s="3"/>
    </row>
    <row r="13" customFormat="false" ht="12.75" hidden="false" customHeight="false" outlineLevel="0" collapsed="false">
      <c r="A13" s="7" t="s">
        <v>14</v>
      </c>
      <c r="B13" s="8"/>
      <c r="C13" s="8"/>
      <c r="D13" s="8"/>
      <c r="E13" s="7" t="n">
        <v>4</v>
      </c>
      <c r="F13" s="3"/>
      <c r="G13" s="3"/>
      <c r="H13" s="3"/>
      <c r="I13" s="3"/>
      <c r="J13" s="10"/>
      <c r="K13" s="3"/>
      <c r="L13" s="10"/>
      <c r="M13" s="10"/>
      <c r="N13" s="3"/>
      <c r="O13" s="3"/>
      <c r="P13" s="3"/>
      <c r="Q13" s="3"/>
      <c r="R13" s="3"/>
      <c r="S13" s="10"/>
      <c r="T13" s="10"/>
      <c r="U13" s="3"/>
      <c r="V13" s="3"/>
      <c r="W13" s="3"/>
      <c r="X13" s="3"/>
      <c r="Y13" s="3"/>
      <c r="Z13" s="10"/>
      <c r="AA13" s="10"/>
      <c r="AB13" s="3"/>
      <c r="AC13" s="3"/>
      <c r="AD13" s="3"/>
      <c r="AE13" s="3"/>
      <c r="AF13" s="3"/>
      <c r="AG13" s="10"/>
      <c r="AH13" s="10"/>
      <c r="AI13" s="3"/>
      <c r="AJ13" s="3"/>
      <c r="AK13" s="3"/>
      <c r="AL13" s="10"/>
      <c r="AM13" s="11"/>
      <c r="AN13" s="10"/>
      <c r="AO13" s="10"/>
      <c r="AP13" s="3"/>
      <c r="AQ13" s="3"/>
      <c r="AR13" s="3"/>
      <c r="AS13" s="3"/>
      <c r="AT13" s="3"/>
      <c r="AU13" s="10"/>
      <c r="AV13" s="10"/>
      <c r="AW13" s="10"/>
      <c r="AX13" s="3"/>
      <c r="AY13" s="3"/>
      <c r="AZ13" s="9"/>
      <c r="BA13" s="9"/>
      <c r="BB13" s="10"/>
      <c r="BC13" s="10"/>
      <c r="BD13" s="9"/>
      <c r="BE13" s="9"/>
      <c r="BF13" s="3"/>
      <c r="BG13" s="10"/>
      <c r="BH13" s="3"/>
      <c r="BI13" s="10"/>
      <c r="BJ13" s="10"/>
      <c r="BK13" s="3"/>
      <c r="BL13" s="3"/>
      <c r="BM13" s="3"/>
      <c r="BN13" s="3"/>
      <c r="BO13" s="3"/>
      <c r="BP13" s="10"/>
      <c r="BQ13" s="10"/>
      <c r="BR13" s="3"/>
      <c r="BS13" s="3"/>
      <c r="BT13" s="3"/>
      <c r="BU13" s="3"/>
      <c r="BV13" s="3"/>
    </row>
    <row r="14" customFormat="false" ht="12.75" hidden="false" customHeight="false" outlineLevel="0" collapsed="false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customFormat="false" ht="12.75" hidden="false" customHeight="false" outlineLevel="0" collapsed="false">
      <c r="A15" s="13" t="n">
        <v>0</v>
      </c>
      <c r="B15" s="14"/>
      <c r="C15" s="15" t="n">
        <v>2</v>
      </c>
      <c r="D15" s="3"/>
      <c r="E15" s="3"/>
      <c r="F15" s="13" t="n">
        <v>2</v>
      </c>
      <c r="G15" s="14"/>
      <c r="H15" s="15" t="n">
        <v>10</v>
      </c>
      <c r="I15" s="3"/>
      <c r="J15" s="3"/>
      <c r="K15" s="13" t="n">
        <v>10</v>
      </c>
      <c r="L15" s="14"/>
      <c r="M15" s="15" t="n">
        <v>16</v>
      </c>
      <c r="N15" s="3"/>
      <c r="O15" s="3"/>
      <c r="P15" s="13" t="n">
        <v>16</v>
      </c>
      <c r="Q15" s="14"/>
      <c r="R15" s="15" t="n">
        <v>21</v>
      </c>
      <c r="S15" s="3"/>
      <c r="T15" s="3"/>
      <c r="U15" s="13" t="n">
        <v>21</v>
      </c>
      <c r="V15" s="14"/>
      <c r="W15" s="15" t="n">
        <v>29</v>
      </c>
      <c r="X15" s="3"/>
      <c r="Y15" s="3"/>
      <c r="Z15" s="13" t="n">
        <v>29</v>
      </c>
      <c r="AA15" s="14"/>
      <c r="AB15" s="15" t="n">
        <v>33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customFormat="false" ht="12.75" hidden="false" customHeight="false" outlineLevel="0" collapsed="false">
      <c r="A16" s="16" t="s">
        <v>3</v>
      </c>
      <c r="B16" s="16"/>
      <c r="C16" s="16"/>
      <c r="D16" s="17"/>
      <c r="E16" s="17"/>
      <c r="F16" s="16" t="s">
        <v>4</v>
      </c>
      <c r="G16" s="16"/>
      <c r="H16" s="16"/>
      <c r="I16" s="17"/>
      <c r="J16" s="17"/>
      <c r="K16" s="16" t="s">
        <v>2</v>
      </c>
      <c r="L16" s="16"/>
      <c r="M16" s="16"/>
      <c r="N16" s="17"/>
      <c r="O16" s="17"/>
      <c r="P16" s="16" t="s">
        <v>8</v>
      </c>
      <c r="Q16" s="16"/>
      <c r="R16" s="16"/>
      <c r="S16" s="17"/>
      <c r="T16" s="17"/>
      <c r="U16" s="16" t="s">
        <v>11</v>
      </c>
      <c r="V16" s="16"/>
      <c r="W16" s="16"/>
      <c r="X16" s="17"/>
      <c r="Y16" s="17"/>
      <c r="Z16" s="16" t="s">
        <v>14</v>
      </c>
      <c r="AA16" s="16"/>
      <c r="AB16" s="16"/>
      <c r="AC16" s="3"/>
      <c r="AD16" s="18" t="s">
        <v>15</v>
      </c>
      <c r="AE16" s="18"/>
      <c r="AF16" s="18"/>
      <c r="AG16" s="18"/>
      <c r="AH16" s="18"/>
      <c r="AI16" s="18"/>
      <c r="AJ16" s="18"/>
      <c r="AK16" s="18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customFormat="false" ht="12.75" hidden="false" customHeight="false" outlineLevel="0" collapsed="false">
      <c r="A17" s="19" t="n">
        <v>2</v>
      </c>
      <c r="B17" s="20" t="n">
        <v>0</v>
      </c>
      <c r="C17" s="21" t="n">
        <v>0</v>
      </c>
      <c r="D17" s="3"/>
      <c r="E17" s="3"/>
      <c r="F17" s="19" t="n">
        <v>8</v>
      </c>
      <c r="G17" s="20" t="n">
        <v>0</v>
      </c>
      <c r="H17" s="21" t="n">
        <v>0</v>
      </c>
      <c r="I17" s="3"/>
      <c r="J17" s="3"/>
      <c r="K17" s="19" t="n">
        <v>6</v>
      </c>
      <c r="L17" s="20" t="n">
        <v>0</v>
      </c>
      <c r="M17" s="21" t="n">
        <v>0</v>
      </c>
      <c r="N17" s="3"/>
      <c r="O17" s="3"/>
      <c r="P17" s="19" t="n">
        <v>5</v>
      </c>
      <c r="Q17" s="20" t="n">
        <v>0</v>
      </c>
      <c r="R17" s="21" t="n">
        <v>0</v>
      </c>
      <c r="S17" s="3"/>
      <c r="T17" s="3"/>
      <c r="U17" s="19" t="n">
        <v>8</v>
      </c>
      <c r="V17" s="20" t="n">
        <v>0</v>
      </c>
      <c r="W17" s="21" t="n">
        <v>0</v>
      </c>
      <c r="X17" s="3"/>
      <c r="Y17" s="3"/>
      <c r="Z17" s="19" t="n">
        <v>4</v>
      </c>
      <c r="AA17" s="20" t="n">
        <v>0</v>
      </c>
      <c r="AB17" s="21" t="n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customFormat="false" ht="12.75" hidden="false" customHeight="false" outlineLevel="0" collapsed="false">
      <c r="A18" s="22" t="n">
        <v>0</v>
      </c>
      <c r="B18" s="14"/>
      <c r="C18" s="23" t="n">
        <v>2</v>
      </c>
      <c r="D18" s="24"/>
      <c r="E18" s="3"/>
      <c r="F18" s="22" t="n">
        <v>2</v>
      </c>
      <c r="G18" s="14"/>
      <c r="H18" s="23" t="n">
        <v>10</v>
      </c>
      <c r="I18" s="3"/>
      <c r="J18" s="3"/>
      <c r="K18" s="22" t="n">
        <v>10</v>
      </c>
      <c r="L18" s="14"/>
      <c r="M18" s="23" t="n">
        <v>16</v>
      </c>
      <c r="N18" s="3"/>
      <c r="O18" s="3"/>
      <c r="P18" s="22" t="n">
        <v>16</v>
      </c>
      <c r="Q18" s="14"/>
      <c r="R18" s="23" t="n">
        <v>21</v>
      </c>
      <c r="S18" s="3"/>
      <c r="T18" s="3"/>
      <c r="U18" s="22" t="n">
        <v>21</v>
      </c>
      <c r="V18" s="14"/>
      <c r="W18" s="23" t="n">
        <v>29</v>
      </c>
      <c r="X18" s="25"/>
      <c r="Y18" s="26"/>
      <c r="Z18" s="22" t="n">
        <v>29</v>
      </c>
      <c r="AA18" s="14"/>
      <c r="AB18" s="23" t="n">
        <v>33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customFormat="false" ht="12.75" hidden="false" customHeight="false" outlineLevel="0" collapsed="false">
      <c r="D19" s="2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5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customFormat="false" ht="12.75" hidden="false" customHeight="false" outlineLevel="0" collapsed="false">
      <c r="D20" s="2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5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customFormat="false" ht="12.75" hidden="false" customHeight="false" outlineLevel="0" collapsed="false">
      <c r="D21" s="25"/>
      <c r="E21" s="3"/>
      <c r="F21" s="13" t="n">
        <v>2</v>
      </c>
      <c r="G21" s="14"/>
      <c r="H21" s="15" t="n">
        <v>10</v>
      </c>
      <c r="I21" s="3"/>
      <c r="J21" s="3"/>
      <c r="K21" s="13" t="n">
        <v>10</v>
      </c>
      <c r="L21" s="14"/>
      <c r="M21" s="15" t="n">
        <v>18</v>
      </c>
      <c r="N21" s="3"/>
      <c r="O21" s="3"/>
      <c r="P21" s="13" t="n">
        <v>18</v>
      </c>
      <c r="Q21" s="14"/>
      <c r="R21" s="15" t="n">
        <v>24</v>
      </c>
      <c r="S21" s="3"/>
      <c r="T21" s="3"/>
      <c r="U21" s="13" t="n">
        <v>24</v>
      </c>
      <c r="V21" s="14"/>
      <c r="W21" s="15" t="n">
        <v>26</v>
      </c>
      <c r="X21" s="25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customFormat="false" ht="12.75" hidden="false" customHeight="false" outlineLevel="0" collapsed="false">
      <c r="D22" s="25"/>
      <c r="E22" s="17"/>
      <c r="F22" s="16" t="s">
        <v>5</v>
      </c>
      <c r="G22" s="16"/>
      <c r="H22" s="16"/>
      <c r="I22" s="17"/>
      <c r="J22" s="17"/>
      <c r="K22" s="16" t="s">
        <v>6</v>
      </c>
      <c r="L22" s="16"/>
      <c r="M22" s="16"/>
      <c r="N22" s="17"/>
      <c r="O22" s="17"/>
      <c r="P22" s="16" t="s">
        <v>9</v>
      </c>
      <c r="Q22" s="16"/>
      <c r="R22" s="16"/>
      <c r="S22" s="17"/>
      <c r="T22" s="17"/>
      <c r="U22" s="16" t="s">
        <v>13</v>
      </c>
      <c r="V22" s="16"/>
      <c r="W22" s="16"/>
      <c r="X22" s="27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customFormat="false" ht="12.75" hidden="false" customHeight="false" outlineLevel="0" collapsed="false">
      <c r="D23" s="3"/>
      <c r="E23" s="3"/>
      <c r="F23" s="19" t="n">
        <v>8</v>
      </c>
      <c r="G23" s="20" t="n">
        <v>3</v>
      </c>
      <c r="H23" s="21" t="n">
        <v>0</v>
      </c>
      <c r="I23" s="3"/>
      <c r="J23" s="3"/>
      <c r="K23" s="19" t="n">
        <v>8</v>
      </c>
      <c r="L23" s="20" t="n">
        <v>3</v>
      </c>
      <c r="M23" s="21" t="n">
        <v>0</v>
      </c>
      <c r="N23" s="3"/>
      <c r="O23" s="3"/>
      <c r="P23" s="19" t="n">
        <v>6</v>
      </c>
      <c r="Q23" s="20" t="n">
        <v>3</v>
      </c>
      <c r="R23" s="21" t="n">
        <v>0</v>
      </c>
      <c r="S23" s="3"/>
      <c r="T23" s="3"/>
      <c r="U23" s="19" t="n">
        <v>2</v>
      </c>
      <c r="V23" s="20" t="n">
        <v>3</v>
      </c>
      <c r="W23" s="21" t="n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customFormat="false" ht="12.75" hidden="false" customHeight="false" outlineLevel="0" collapsed="false">
      <c r="D24" s="3"/>
      <c r="E24" s="3"/>
      <c r="F24" s="22" t="n">
        <v>5</v>
      </c>
      <c r="G24" s="14"/>
      <c r="H24" s="23" t="n">
        <v>13</v>
      </c>
      <c r="I24" s="24"/>
      <c r="J24" s="3"/>
      <c r="K24" s="22" t="n">
        <v>13</v>
      </c>
      <c r="L24" s="14"/>
      <c r="M24" s="23" t="n">
        <v>21</v>
      </c>
      <c r="N24" s="3"/>
      <c r="O24" s="3"/>
      <c r="P24" s="22" t="n">
        <v>21</v>
      </c>
      <c r="Q24" s="14"/>
      <c r="R24" s="23" t="n">
        <v>27</v>
      </c>
      <c r="S24" s="25"/>
      <c r="T24" s="26"/>
      <c r="U24" s="22" t="n">
        <v>27</v>
      </c>
      <c r="V24" s="14"/>
      <c r="W24" s="23" t="n">
        <v>29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customFormat="false" ht="12.75" hidden="false" customHeight="false" outlineLevel="0" collapsed="false">
      <c r="D25" s="3"/>
      <c r="E25" s="3"/>
      <c r="F25" s="3"/>
      <c r="G25" s="3"/>
      <c r="H25" s="3"/>
      <c r="I25" s="25"/>
      <c r="J25" s="3"/>
      <c r="K25" s="3"/>
      <c r="L25" s="3"/>
      <c r="M25" s="3"/>
      <c r="N25" s="3"/>
      <c r="O25" s="3"/>
      <c r="P25" s="3"/>
      <c r="Q25" s="3"/>
      <c r="R25" s="3"/>
      <c r="S25" s="25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customFormat="false" ht="12.75" hidden="false" customHeight="false" outlineLevel="0" collapsed="false">
      <c r="D26" s="3"/>
      <c r="E26" s="3"/>
      <c r="F26" s="3"/>
      <c r="G26" s="3"/>
      <c r="H26" s="3"/>
      <c r="I26" s="25"/>
      <c r="J26" s="3"/>
      <c r="K26" s="3"/>
      <c r="L26" s="3"/>
      <c r="M26" s="3"/>
      <c r="N26" s="3"/>
      <c r="O26" s="3"/>
      <c r="P26" s="3"/>
      <c r="Q26" s="3"/>
      <c r="R26" s="3"/>
      <c r="S26" s="25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customFormat="false" ht="12.75" hidden="false" customHeight="false" outlineLevel="0" collapsed="false">
      <c r="I27" s="25"/>
      <c r="J27" s="3"/>
      <c r="K27" s="13" t="n">
        <v>10</v>
      </c>
      <c r="L27" s="14"/>
      <c r="M27" s="15" t="n">
        <v>18</v>
      </c>
      <c r="N27" s="3"/>
      <c r="O27" s="3"/>
      <c r="P27" s="13" t="n">
        <v>18</v>
      </c>
      <c r="Q27" s="14"/>
      <c r="R27" s="15" t="n">
        <v>23</v>
      </c>
      <c r="S27" s="25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customFormat="false" ht="12.75" hidden="false" customHeight="false" outlineLevel="0" collapsed="false">
      <c r="I28" s="25"/>
      <c r="J28" s="17"/>
      <c r="K28" s="16" t="s">
        <v>7</v>
      </c>
      <c r="L28" s="16"/>
      <c r="M28" s="16"/>
      <c r="N28" s="17"/>
      <c r="O28" s="17"/>
      <c r="P28" s="16" t="s">
        <v>10</v>
      </c>
      <c r="Q28" s="16"/>
      <c r="R28" s="16"/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customFormat="false" ht="12.75" hidden="false" customHeight="false" outlineLevel="0" collapsed="false">
      <c r="I29" s="3"/>
      <c r="J29" s="3"/>
      <c r="K29" s="19" t="n">
        <v>8</v>
      </c>
      <c r="L29" s="20" t="n">
        <v>4</v>
      </c>
      <c r="M29" s="21" t="n">
        <v>0</v>
      </c>
      <c r="N29" s="3"/>
      <c r="O29" s="3"/>
      <c r="P29" s="19" t="n">
        <v>5</v>
      </c>
      <c r="Q29" s="20" t="n">
        <v>4</v>
      </c>
      <c r="R29" s="21" t="n">
        <v>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customFormat="false" ht="12.75" hidden="false" customHeight="false" outlineLevel="0" collapsed="false">
      <c r="I30" s="3"/>
      <c r="J30" s="3"/>
      <c r="K30" s="22" t="n">
        <v>14</v>
      </c>
      <c r="L30" s="14"/>
      <c r="M30" s="23" t="n">
        <v>22</v>
      </c>
      <c r="N30" s="3"/>
      <c r="O30" s="3"/>
      <c r="P30" s="22" t="n">
        <v>22</v>
      </c>
      <c r="Q30" s="14"/>
      <c r="R30" s="23" t="n">
        <v>27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customFormat="false" ht="12.75" hidden="false" customHeight="false" outlineLevel="0" collapsed="false"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customFormat="false" ht="12.75" hidden="false" customHeight="false" outlineLevel="0" collapsed="false"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5" customFormat="false" ht="52.95" hidden="false" customHeight="false" outlineLevel="0" collapsed="false">
      <c r="A35" s="28" t="s">
        <v>16</v>
      </c>
      <c r="C35" s="29" t="s">
        <v>17</v>
      </c>
    </row>
    <row r="36" customFormat="false" ht="12.75" hidden="false" customHeight="false" outlineLevel="0" collapsed="false">
      <c r="A36" s="13" t="s">
        <v>18</v>
      </c>
      <c r="B36" s="14"/>
      <c r="C36" s="15" t="s">
        <v>19</v>
      </c>
      <c r="D36" s="30" t="s">
        <v>20</v>
      </c>
      <c r="E36" s="30"/>
      <c r="F36" s="30"/>
      <c r="G36" s="30"/>
      <c r="H36" s="31" t="s">
        <v>21</v>
      </c>
      <c r="I36" s="31"/>
      <c r="J36" s="31"/>
      <c r="K36" s="31"/>
      <c r="L36" s="31"/>
      <c r="M36" s="31"/>
      <c r="N36" s="31"/>
      <c r="O36" s="31"/>
      <c r="P36" s="31"/>
    </row>
    <row r="37" customFormat="false" ht="12.75" hidden="false" customHeight="false" outlineLevel="0" collapsed="false">
      <c r="A37" s="16" t="s">
        <v>0</v>
      </c>
      <c r="B37" s="16"/>
      <c r="C37" s="16"/>
      <c r="H37" s="31" t="s">
        <v>22</v>
      </c>
      <c r="I37" s="31"/>
      <c r="J37" s="31"/>
      <c r="K37" s="31"/>
      <c r="L37" s="31"/>
      <c r="M37" s="31"/>
      <c r="N37" s="31"/>
      <c r="O37" s="31"/>
      <c r="P37" s="31"/>
    </row>
    <row r="38" customFormat="false" ht="12.75" hidden="false" customHeight="false" outlineLevel="0" collapsed="false">
      <c r="A38" s="19" t="s">
        <v>2</v>
      </c>
      <c r="B38" s="20" t="s">
        <v>23</v>
      </c>
      <c r="C38" s="21" t="s">
        <v>24</v>
      </c>
      <c r="D38" s="30" t="s">
        <v>25</v>
      </c>
      <c r="E38" s="30"/>
      <c r="F38" s="30"/>
      <c r="G38" s="30"/>
      <c r="H38" s="31" t="s">
        <v>26</v>
      </c>
      <c r="I38" s="31"/>
      <c r="J38" s="31"/>
      <c r="K38" s="31"/>
      <c r="L38" s="31"/>
      <c r="M38" s="31"/>
      <c r="N38" s="31"/>
      <c r="O38" s="31"/>
      <c r="P38" s="31"/>
    </row>
    <row r="39" customFormat="false" ht="12.75" hidden="false" customHeight="false" outlineLevel="0" collapsed="false">
      <c r="A39" s="22" t="s">
        <v>27</v>
      </c>
      <c r="B39" s="14"/>
      <c r="C39" s="23" t="s">
        <v>28</v>
      </c>
      <c r="D39" s="30" t="s">
        <v>29</v>
      </c>
      <c r="E39" s="30"/>
      <c r="F39" s="30"/>
      <c r="G39" s="30"/>
      <c r="H39" s="31" t="s">
        <v>30</v>
      </c>
      <c r="I39" s="31"/>
      <c r="J39" s="31"/>
      <c r="K39" s="31"/>
      <c r="L39" s="31"/>
      <c r="M39" s="31"/>
      <c r="N39" s="31"/>
      <c r="O39" s="31"/>
      <c r="P39" s="31"/>
    </row>
    <row r="40" customFormat="false" ht="12.75" hidden="false" customHeight="false" outlineLevel="0" collapsed="false">
      <c r="I40" s="30" t="s">
        <v>31</v>
      </c>
      <c r="J40" s="30"/>
      <c r="K40" s="30"/>
      <c r="L40" s="30"/>
      <c r="M40" s="30"/>
      <c r="N40" s="30"/>
      <c r="O40" s="30"/>
    </row>
    <row r="41" customFormat="false" ht="12.75" hidden="false" customHeight="false" outlineLevel="0" collapsed="false">
      <c r="H41" s="30" t="s">
        <v>32</v>
      </c>
      <c r="I41" s="30"/>
      <c r="J41" s="30"/>
      <c r="K41" s="30"/>
      <c r="L41" s="30"/>
      <c r="M41" s="30"/>
      <c r="N41" s="30"/>
      <c r="O41" s="30"/>
      <c r="P41" s="30"/>
    </row>
    <row r="54" customFormat="false" ht="12.75" hidden="false" customHeight="false" outlineLevel="0" collapsed="false">
      <c r="A54" s="32"/>
      <c r="B54" s="33"/>
      <c r="C54" s="33"/>
      <c r="D54" s="33"/>
      <c r="E54" s="33"/>
      <c r="F54" s="33"/>
      <c r="G54" s="33"/>
      <c r="H54" s="33"/>
    </row>
    <row r="55" customFormat="false" ht="12.75" hidden="false" customHeight="false" outlineLevel="0" collapsed="false">
      <c r="A55" s="32"/>
      <c r="B55" s="34" t="s">
        <v>18</v>
      </c>
      <c r="C55" s="34"/>
      <c r="D55" s="34" t="s">
        <v>19</v>
      </c>
      <c r="E55" s="34"/>
      <c r="F55" s="34"/>
      <c r="G55" s="34"/>
      <c r="H55" s="34"/>
    </row>
    <row r="56" customFormat="false" ht="12.75" hidden="false" customHeight="false" outlineLevel="0" collapsed="false">
      <c r="A56" s="32"/>
      <c r="B56" s="35" t="s">
        <v>0</v>
      </c>
      <c r="C56" s="35"/>
      <c r="D56" s="35"/>
      <c r="E56" s="34"/>
      <c r="F56" s="36" t="s">
        <v>33</v>
      </c>
      <c r="G56" s="36"/>
      <c r="H56" s="36"/>
    </row>
    <row r="57" customFormat="false" ht="12.75" hidden="false" customHeight="false" outlineLevel="0" collapsed="false">
      <c r="A57" s="32"/>
      <c r="B57" s="37" t="s">
        <v>2</v>
      </c>
      <c r="C57" s="38" t="s">
        <v>23</v>
      </c>
      <c r="D57" s="37" t="s">
        <v>24</v>
      </c>
      <c r="E57" s="34"/>
      <c r="F57" s="34"/>
      <c r="G57" s="34"/>
      <c r="H57" s="34"/>
    </row>
    <row r="58" customFormat="false" ht="12.75" hidden="false" customHeight="false" outlineLevel="0" collapsed="false">
      <c r="A58" s="32"/>
      <c r="B58" s="34" t="s">
        <v>27</v>
      </c>
      <c r="C58" s="34"/>
      <c r="D58" s="34" t="s">
        <v>28</v>
      </c>
      <c r="E58" s="34"/>
      <c r="F58" s="34"/>
      <c r="G58" s="34"/>
      <c r="H58" s="34"/>
    </row>
    <row r="59" customFormat="false" ht="12.75" hidden="false" customHeight="false" outlineLevel="0" collapsed="false">
      <c r="A59" s="32"/>
      <c r="B59" s="34"/>
      <c r="C59" s="34"/>
      <c r="D59" s="34"/>
      <c r="E59" s="34"/>
      <c r="F59" s="34"/>
      <c r="G59" s="34"/>
      <c r="H59" s="34"/>
    </row>
    <row r="60" customFormat="false" ht="12.75" hidden="false" customHeight="false" outlineLevel="0" collapsed="false">
      <c r="A60" s="32"/>
      <c r="B60" s="39" t="s">
        <v>18</v>
      </c>
      <c r="C60" s="34" t="s">
        <v>34</v>
      </c>
      <c r="D60" s="34"/>
      <c r="E60" s="34"/>
      <c r="F60" s="34"/>
      <c r="G60" s="34"/>
      <c r="H60" s="34"/>
    </row>
    <row r="61" customFormat="false" ht="12.75" hidden="false" customHeight="false" outlineLevel="0" collapsed="false">
      <c r="A61" s="32"/>
      <c r="B61" s="39" t="s">
        <v>27</v>
      </c>
      <c r="C61" s="34" t="s">
        <v>35</v>
      </c>
      <c r="D61" s="34"/>
      <c r="E61" s="34"/>
      <c r="F61" s="34"/>
      <c r="G61" s="34"/>
      <c r="H61" s="34"/>
    </row>
    <row r="62" customFormat="false" ht="12.75" hidden="false" customHeight="false" outlineLevel="0" collapsed="false">
      <c r="A62" s="32"/>
      <c r="B62" s="39" t="s">
        <v>19</v>
      </c>
      <c r="C62" s="34" t="s">
        <v>36</v>
      </c>
      <c r="D62" s="34"/>
      <c r="E62" s="34"/>
      <c r="F62" s="34"/>
      <c r="G62" s="34"/>
      <c r="H62" s="34"/>
    </row>
    <row r="63" customFormat="false" ht="12.75" hidden="false" customHeight="false" outlineLevel="0" collapsed="false">
      <c r="A63" s="32"/>
      <c r="B63" s="39" t="s">
        <v>28</v>
      </c>
      <c r="C63" s="34" t="s">
        <v>37</v>
      </c>
      <c r="D63" s="34"/>
      <c r="E63" s="34"/>
      <c r="F63" s="34"/>
      <c r="G63" s="34"/>
      <c r="H63" s="34"/>
    </row>
    <row r="64" customFormat="false" ht="12.75" hidden="false" customHeight="false" outlineLevel="0" collapsed="false">
      <c r="A64" s="32"/>
      <c r="B64" s="37" t="s">
        <v>2</v>
      </c>
      <c r="C64" s="34" t="s">
        <v>38</v>
      </c>
      <c r="D64" s="34"/>
      <c r="E64" s="34"/>
      <c r="F64" s="34"/>
      <c r="G64" s="34"/>
      <c r="H64" s="34"/>
    </row>
    <row r="65" customFormat="false" ht="12.75" hidden="false" customHeight="false" outlineLevel="0" collapsed="false">
      <c r="A65" s="32"/>
      <c r="B65" s="38" t="s">
        <v>23</v>
      </c>
      <c r="C65" s="34" t="s">
        <v>39</v>
      </c>
      <c r="D65" s="34"/>
      <c r="E65" s="34"/>
      <c r="F65" s="34"/>
      <c r="G65" s="34"/>
      <c r="H65" s="34"/>
    </row>
    <row r="66" customFormat="false" ht="12.75" hidden="false" customHeight="false" outlineLevel="0" collapsed="false">
      <c r="A66" s="32"/>
      <c r="B66" s="40" t="s">
        <v>24</v>
      </c>
      <c r="C66" s="33" t="s">
        <v>40</v>
      </c>
      <c r="D66" s="33"/>
      <c r="E66" s="33"/>
      <c r="F66" s="33"/>
      <c r="G66" s="33"/>
      <c r="H66" s="33"/>
    </row>
    <row r="67" customFormat="false" ht="12.75" hidden="false" customHeight="false" outlineLevel="0" collapsed="false">
      <c r="A67" s="32"/>
      <c r="B67" s="33"/>
      <c r="C67" s="33"/>
      <c r="D67" s="33"/>
      <c r="E67" s="33"/>
      <c r="F67" s="33"/>
      <c r="G67" s="33"/>
      <c r="H67" s="33"/>
    </row>
  </sheetData>
  <mergeCells count="25">
    <mergeCell ref="B1:D1"/>
    <mergeCell ref="A16:C16"/>
    <mergeCell ref="F16:H16"/>
    <mergeCell ref="K16:M16"/>
    <mergeCell ref="P16:R16"/>
    <mergeCell ref="U16:W16"/>
    <mergeCell ref="Z16:AB16"/>
    <mergeCell ref="AD16:AK16"/>
    <mergeCell ref="F22:H22"/>
    <mergeCell ref="K22:M22"/>
    <mergeCell ref="P22:R22"/>
    <mergeCell ref="U22:W22"/>
    <mergeCell ref="K28:M28"/>
    <mergeCell ref="P28:R28"/>
    <mergeCell ref="D36:G36"/>
    <mergeCell ref="H36:P36"/>
    <mergeCell ref="A37:C37"/>
    <mergeCell ref="H37:P37"/>
    <mergeCell ref="D38:G38"/>
    <mergeCell ref="H38:P38"/>
    <mergeCell ref="D39:G39"/>
    <mergeCell ref="H39:P39"/>
    <mergeCell ref="I40:O40"/>
    <mergeCell ref="H41:P41"/>
    <mergeCell ref="B56:D56"/>
  </mergeCells>
  <conditionalFormatting sqref="B38">
    <cfRule type="cellIs" priority="2" operator="equal" aboveAverage="0" equalAverage="0" bottom="0" percent="0" rank="0" text="" dxfId="0">
      <formula>0</formula>
    </cfRule>
  </conditionalFormatting>
  <conditionalFormatting sqref="B17 G17 G23 L17 L23 L29 Q17 Q23 Q29 V17 V23 AA17"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31"/>
  <sheetViews>
    <sheetView showFormulas="false" showGridLines="true" showRowColHeaders="true" showZeros="true" rightToLeft="false" tabSelected="false" showOutlineSymbols="true" defaultGridColor="true" view="normal" topLeftCell="T1" colorId="64" zoomScale="140" zoomScaleNormal="140" zoomScalePageLayoutView="100" workbookViewId="0">
      <selection pane="topLeft" activeCell="AW21" activeCellId="1" sqref="AH5:AH6 AW2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64" min="1" style="3" width="3.86"/>
  </cols>
  <sheetData>
    <row r="1" customFormat="false" ht="38.8" hidden="false" customHeight="false" outlineLevel="0" collapsed="false">
      <c r="A1" s="2" t="s">
        <v>0</v>
      </c>
      <c r="B1" s="2" t="s">
        <v>41</v>
      </c>
      <c r="C1" s="2"/>
      <c r="D1" s="2"/>
      <c r="E1" s="2" t="s">
        <v>2</v>
      </c>
      <c r="G1" s="4" t="n">
        <v>45775</v>
      </c>
      <c r="H1" s="4" t="n">
        <v>45776</v>
      </c>
      <c r="I1" s="4" t="n">
        <v>45777</v>
      </c>
      <c r="J1" s="5" t="n">
        <v>45778</v>
      </c>
      <c r="K1" s="4" t="n">
        <v>45779</v>
      </c>
      <c r="L1" s="5" t="n">
        <v>45780</v>
      </c>
      <c r="M1" s="5" t="n">
        <v>45781</v>
      </c>
      <c r="N1" s="4" t="n">
        <v>45782</v>
      </c>
      <c r="O1" s="4" t="n">
        <v>45783</v>
      </c>
      <c r="P1" s="4" t="n">
        <v>45784</v>
      </c>
      <c r="Q1" s="4" t="n">
        <v>45785</v>
      </c>
      <c r="R1" s="4" t="n">
        <v>45786</v>
      </c>
      <c r="S1" s="5" t="n">
        <v>45787</v>
      </c>
      <c r="T1" s="5" t="n">
        <v>45788</v>
      </c>
      <c r="U1" s="4" t="n">
        <v>45789</v>
      </c>
      <c r="V1" s="4" t="n">
        <v>45790</v>
      </c>
      <c r="W1" s="4" t="n">
        <v>45791</v>
      </c>
      <c r="X1" s="4" t="n">
        <v>45792</v>
      </c>
      <c r="Y1" s="4" t="n">
        <v>45793</v>
      </c>
      <c r="Z1" s="5" t="n">
        <v>45794</v>
      </c>
      <c r="AA1" s="5" t="n">
        <v>45795</v>
      </c>
      <c r="AB1" s="4" t="n">
        <v>45796</v>
      </c>
      <c r="AC1" s="4" t="n">
        <v>45797</v>
      </c>
      <c r="AD1" s="4" t="n">
        <v>45798</v>
      </c>
      <c r="AE1" s="4" t="n">
        <v>45799</v>
      </c>
      <c r="AF1" s="4" t="n">
        <v>45800</v>
      </c>
      <c r="AG1" s="5" t="n">
        <v>45801</v>
      </c>
      <c r="AH1" s="5" t="n">
        <v>45802</v>
      </c>
      <c r="AI1" s="4" t="n">
        <v>45803</v>
      </c>
      <c r="AJ1" s="4" t="n">
        <v>45804</v>
      </c>
      <c r="AK1" s="4" t="n">
        <v>45805</v>
      </c>
      <c r="AL1" s="5" t="n">
        <v>45806</v>
      </c>
      <c r="AM1" s="6" t="n">
        <v>45807</v>
      </c>
      <c r="AN1" s="5" t="n">
        <v>45808</v>
      </c>
      <c r="AO1" s="5" t="n">
        <v>45809</v>
      </c>
      <c r="AP1" s="4" t="n">
        <v>45810</v>
      </c>
      <c r="AQ1" s="4" t="n">
        <v>45811</v>
      </c>
      <c r="AR1" s="4" t="n">
        <v>45812</v>
      </c>
      <c r="AS1" s="4" t="n">
        <v>45813</v>
      </c>
      <c r="AT1" s="4" t="n">
        <v>45814</v>
      </c>
      <c r="AU1" s="5" t="n">
        <v>45815</v>
      </c>
      <c r="AV1" s="5" t="n">
        <v>45816</v>
      </c>
      <c r="AW1" s="5" t="n">
        <v>45817</v>
      </c>
      <c r="AX1" s="4" t="n">
        <v>45818</v>
      </c>
      <c r="AY1" s="4" t="n">
        <v>45819</v>
      </c>
      <c r="AZ1" s="4" t="n">
        <v>45820</v>
      </c>
      <c r="BA1" s="4" t="n">
        <v>45821</v>
      </c>
      <c r="BB1" s="5" t="n">
        <v>45822</v>
      </c>
      <c r="BC1" s="5" t="n">
        <v>45823</v>
      </c>
      <c r="BD1" s="4" t="n">
        <v>45824</v>
      </c>
      <c r="BE1" s="4" t="n">
        <v>45825</v>
      </c>
      <c r="BF1" s="4" t="n">
        <v>45826</v>
      </c>
      <c r="BG1" s="5" t="n">
        <v>45827</v>
      </c>
      <c r="BH1" s="4" t="n">
        <v>45828</v>
      </c>
      <c r="BI1" s="5" t="n">
        <v>45829</v>
      </c>
      <c r="BJ1" s="5" t="n">
        <v>45830</v>
      </c>
      <c r="BK1" s="4" t="n">
        <v>45831</v>
      </c>
      <c r="BL1" s="4" t="n">
        <v>45832</v>
      </c>
      <c r="BM1" s="4"/>
      <c r="BN1" s="4"/>
      <c r="BO1" s="4"/>
      <c r="BP1" s="5"/>
      <c r="BQ1" s="5"/>
    </row>
    <row r="2" customFormat="false" ht="12.75" hidden="false" customHeight="false" outlineLevel="0" collapsed="false">
      <c r="A2" s="7" t="s">
        <v>3</v>
      </c>
      <c r="B2" s="41"/>
      <c r="C2" s="41"/>
      <c r="D2" s="41"/>
      <c r="E2" s="7" t="n">
        <v>6</v>
      </c>
      <c r="G2" s="42"/>
      <c r="H2" s="42"/>
      <c r="I2" s="42"/>
      <c r="J2" s="10"/>
      <c r="K2" s="42"/>
      <c r="L2" s="10"/>
      <c r="M2" s="10"/>
      <c r="N2" s="42"/>
      <c r="O2" s="43"/>
      <c r="S2" s="10"/>
      <c r="T2" s="10"/>
      <c r="Z2" s="10"/>
      <c r="AA2" s="10"/>
      <c r="AG2" s="10"/>
      <c r="AH2" s="10"/>
      <c r="AL2" s="5"/>
      <c r="AM2" s="6"/>
      <c r="AN2" s="10"/>
      <c r="AO2" s="10"/>
      <c r="AU2" s="10"/>
      <c r="AV2" s="10"/>
      <c r="AW2" s="5"/>
      <c r="BB2" s="10"/>
      <c r="BC2" s="10"/>
      <c r="BG2" s="5"/>
      <c r="BI2" s="10"/>
      <c r="BJ2" s="10"/>
    </row>
    <row r="3" customFormat="false" ht="12.7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 customFormat="false" ht="12.75" hidden="false" customHeight="false" outlineLevel="0" collapsed="false">
      <c r="A4" s="7" t="s">
        <v>4</v>
      </c>
      <c r="B4" s="44" t="s">
        <v>3</v>
      </c>
      <c r="C4" s="44"/>
      <c r="D4" s="44"/>
      <c r="E4" s="7" t="n">
        <v>7</v>
      </c>
      <c r="J4" s="10"/>
      <c r="L4" s="10"/>
      <c r="M4" s="10"/>
      <c r="P4" s="42"/>
      <c r="Q4" s="42"/>
      <c r="R4" s="42"/>
      <c r="S4" s="10"/>
      <c r="T4" s="10"/>
      <c r="U4" s="42"/>
      <c r="V4" s="42"/>
      <c r="W4" s="42"/>
      <c r="X4" s="43"/>
      <c r="Z4" s="10"/>
      <c r="AA4" s="10"/>
      <c r="AG4" s="10"/>
      <c r="AH4" s="10"/>
      <c r="AL4" s="5"/>
      <c r="AM4" s="6"/>
      <c r="AN4" s="10"/>
      <c r="AO4" s="10"/>
      <c r="AU4" s="10"/>
      <c r="AV4" s="10"/>
      <c r="AW4" s="5"/>
      <c r="BB4" s="10"/>
      <c r="BC4" s="10"/>
      <c r="BG4" s="5"/>
      <c r="BI4" s="10"/>
      <c r="BJ4" s="10"/>
    </row>
    <row r="5" customFormat="false" ht="12.75" hidden="false" customHeight="false" outlineLevel="0" collapsed="false">
      <c r="A5" s="7" t="s">
        <v>5</v>
      </c>
      <c r="B5" s="44" t="s">
        <v>3</v>
      </c>
      <c r="C5" s="44"/>
      <c r="D5" s="44"/>
      <c r="E5" s="7" t="n">
        <v>7</v>
      </c>
      <c r="J5" s="10"/>
      <c r="L5" s="10"/>
      <c r="M5" s="10"/>
      <c r="P5" s="42"/>
      <c r="Q5" s="42"/>
      <c r="R5" s="42"/>
      <c r="S5" s="10"/>
      <c r="T5" s="10"/>
      <c r="U5" s="42"/>
      <c r="V5" s="42"/>
      <c r="W5" s="42"/>
      <c r="X5" s="43"/>
      <c r="Z5" s="10"/>
      <c r="AA5" s="10"/>
      <c r="AG5" s="10"/>
      <c r="AH5" s="10"/>
      <c r="AL5" s="5"/>
      <c r="AM5" s="6"/>
      <c r="AN5" s="10"/>
      <c r="AO5" s="10"/>
      <c r="AU5" s="10"/>
      <c r="AV5" s="10"/>
      <c r="AW5" s="5"/>
      <c r="BB5" s="10"/>
      <c r="BC5" s="10"/>
      <c r="BG5" s="5"/>
      <c r="BI5" s="10"/>
      <c r="BJ5" s="10"/>
    </row>
    <row r="6" customFormat="false" ht="12.75" hidden="false" customHeight="false" outlineLevel="0" collapsed="false">
      <c r="A6" s="7" t="s">
        <v>2</v>
      </c>
      <c r="B6" s="44" t="s">
        <v>4</v>
      </c>
      <c r="C6" s="44"/>
      <c r="D6" s="44"/>
      <c r="E6" s="7" t="n">
        <v>4</v>
      </c>
      <c r="J6" s="10"/>
      <c r="L6" s="10"/>
      <c r="M6" s="10"/>
      <c r="S6" s="10"/>
      <c r="T6" s="10"/>
      <c r="Y6" s="42"/>
      <c r="Z6" s="10"/>
      <c r="AA6" s="10"/>
      <c r="AB6" s="42"/>
      <c r="AC6" s="42"/>
      <c r="AD6" s="43"/>
      <c r="AG6" s="10"/>
      <c r="AH6" s="10"/>
      <c r="AL6" s="5"/>
      <c r="AM6" s="6"/>
      <c r="AN6" s="10"/>
      <c r="AO6" s="10"/>
      <c r="AU6" s="10"/>
      <c r="AV6" s="10"/>
      <c r="AW6" s="5"/>
      <c r="BB6" s="10"/>
      <c r="BC6" s="10"/>
      <c r="BG6" s="5"/>
      <c r="BI6" s="10"/>
      <c r="BJ6" s="10"/>
    </row>
    <row r="7" customFormat="false" ht="12.75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 customFormat="false" ht="12.75" hidden="false" customHeight="false" outlineLevel="0" collapsed="false">
      <c r="A8" s="7" t="s">
        <v>6</v>
      </c>
      <c r="B8" s="44" t="s">
        <v>5</v>
      </c>
      <c r="C8" s="44"/>
      <c r="D8" s="44"/>
      <c r="E8" s="7" t="n">
        <v>4</v>
      </c>
      <c r="J8" s="10"/>
      <c r="L8" s="10"/>
      <c r="M8" s="10"/>
      <c r="S8" s="10"/>
      <c r="T8" s="10"/>
      <c r="Y8" s="42"/>
      <c r="Z8" s="10"/>
      <c r="AA8" s="10"/>
      <c r="AB8" s="42"/>
      <c r="AC8" s="42"/>
      <c r="AD8" s="43"/>
      <c r="AG8" s="10"/>
      <c r="AH8" s="10"/>
      <c r="AL8" s="5"/>
      <c r="AM8" s="6"/>
      <c r="AN8" s="10"/>
      <c r="AO8" s="10"/>
      <c r="AU8" s="10"/>
      <c r="AV8" s="10"/>
      <c r="AW8" s="5"/>
      <c r="BB8" s="10"/>
      <c r="BC8" s="10"/>
      <c r="BG8" s="5"/>
      <c r="BI8" s="10"/>
      <c r="BJ8" s="10"/>
    </row>
    <row r="9" customFormat="false" ht="12.75" hidden="false" customHeight="false" outlineLevel="0" collapsed="false">
      <c r="A9" s="7" t="s">
        <v>7</v>
      </c>
      <c r="B9" s="44" t="s">
        <v>5</v>
      </c>
      <c r="C9" s="44"/>
      <c r="D9" s="44"/>
      <c r="E9" s="7" t="n">
        <v>5</v>
      </c>
      <c r="J9" s="10"/>
      <c r="L9" s="10"/>
      <c r="M9" s="10"/>
      <c r="S9" s="10"/>
      <c r="T9" s="10"/>
      <c r="Y9" s="42"/>
      <c r="Z9" s="10"/>
      <c r="AA9" s="10"/>
      <c r="AB9" s="42"/>
      <c r="AC9" s="42"/>
      <c r="AD9" s="42"/>
      <c r="AE9" s="43"/>
      <c r="AG9" s="10"/>
      <c r="AH9" s="10"/>
      <c r="AL9" s="5"/>
      <c r="AM9" s="6"/>
      <c r="AN9" s="10"/>
      <c r="AO9" s="10"/>
      <c r="AU9" s="10"/>
      <c r="AV9" s="10"/>
      <c r="AW9" s="5"/>
      <c r="BB9" s="10"/>
      <c r="BC9" s="10"/>
      <c r="BG9" s="5"/>
      <c r="BI9" s="10"/>
      <c r="BJ9" s="10"/>
    </row>
    <row r="10" customFormat="false" ht="12.75" hidden="false" customHeight="false" outlineLevel="0" collapsed="false">
      <c r="A10" s="7" t="s">
        <v>8</v>
      </c>
      <c r="B10" s="44" t="s">
        <v>2</v>
      </c>
      <c r="C10" s="44" t="s">
        <v>12</v>
      </c>
      <c r="D10" s="44"/>
      <c r="E10" s="45" t="n">
        <v>3</v>
      </c>
      <c r="J10" s="10"/>
      <c r="L10" s="10"/>
      <c r="M10" s="10"/>
      <c r="S10" s="10"/>
      <c r="T10" s="10"/>
      <c r="Z10" s="10"/>
      <c r="AA10" s="10"/>
      <c r="AE10" s="42"/>
      <c r="AF10" s="42"/>
      <c r="AG10" s="10"/>
      <c r="AH10" s="10"/>
      <c r="AI10" s="43"/>
      <c r="AL10" s="5"/>
      <c r="AM10" s="6"/>
      <c r="AN10" s="10"/>
      <c r="AO10" s="10"/>
      <c r="AU10" s="10"/>
      <c r="AV10" s="10"/>
      <c r="AW10" s="5"/>
      <c r="BB10" s="10"/>
      <c r="BC10" s="10"/>
      <c r="BG10" s="5"/>
      <c r="BI10" s="10"/>
      <c r="BJ10" s="10"/>
    </row>
    <row r="11" customFormat="false" ht="12.75" hidden="false" customHeight="false" outlineLevel="0" collapsed="false">
      <c r="A11" s="46" t="s">
        <v>42</v>
      </c>
      <c r="B11" s="46"/>
      <c r="C11" s="46"/>
      <c r="D11" s="46"/>
      <c r="E11" s="46"/>
      <c r="J11" s="10"/>
      <c r="L11" s="10"/>
      <c r="M11" s="10"/>
      <c r="S11" s="10"/>
      <c r="T11" s="10"/>
      <c r="Z11" s="10"/>
      <c r="AA11" s="10"/>
      <c r="AE11" s="0"/>
      <c r="AF11" s="0"/>
      <c r="AG11" s="10"/>
      <c r="AH11" s="10"/>
      <c r="AI11" s="0"/>
      <c r="AL11" s="5"/>
      <c r="AM11" s="6"/>
      <c r="AN11" s="10"/>
      <c r="AO11" s="10"/>
      <c r="AU11" s="10"/>
      <c r="AV11" s="10"/>
      <c r="AW11" s="5"/>
      <c r="BB11" s="10"/>
      <c r="BC11" s="10"/>
      <c r="BG11" s="5"/>
      <c r="BI11" s="10"/>
      <c r="BJ11" s="10"/>
    </row>
    <row r="12" customFormat="false" ht="12.75" hidden="false" customHeight="false" outlineLevel="0" collapsed="false">
      <c r="A12" s="7" t="s">
        <v>9</v>
      </c>
      <c r="B12" s="44" t="s">
        <v>6</v>
      </c>
      <c r="C12" s="44" t="s">
        <v>7</v>
      </c>
      <c r="D12" s="44"/>
      <c r="E12" s="7" t="n">
        <v>6</v>
      </c>
      <c r="J12" s="10"/>
      <c r="L12" s="10"/>
      <c r="M12" s="10"/>
      <c r="S12" s="10"/>
      <c r="T12" s="10"/>
      <c r="Z12" s="10"/>
      <c r="AA12" s="10"/>
      <c r="AF12" s="0"/>
      <c r="AG12" s="10"/>
      <c r="AH12" s="10"/>
      <c r="AI12" s="0"/>
      <c r="AJ12" s="0"/>
      <c r="AK12" s="42"/>
      <c r="AL12" s="5"/>
      <c r="AM12" s="6"/>
      <c r="AN12" s="10"/>
      <c r="AO12" s="10"/>
      <c r="AP12" s="42"/>
      <c r="AQ12" s="43"/>
      <c r="AR12" s="47"/>
      <c r="AS12" s="47"/>
      <c r="AT12" s="47"/>
      <c r="AU12" s="10"/>
      <c r="AV12" s="10"/>
      <c r="AW12" s="5"/>
      <c r="BB12" s="10"/>
      <c r="BC12" s="10"/>
      <c r="BG12" s="5"/>
      <c r="BI12" s="10"/>
      <c r="BJ12" s="10"/>
    </row>
    <row r="13" customFormat="false" ht="12.75" hidden="false" customHeight="false" outlineLevel="0" collapsed="false">
      <c r="A13" s="7" t="s">
        <v>10</v>
      </c>
      <c r="B13" s="44" t="s">
        <v>8</v>
      </c>
      <c r="C13" s="44" t="s">
        <v>9</v>
      </c>
      <c r="D13" s="44"/>
      <c r="E13" s="7" t="n">
        <v>2</v>
      </c>
      <c r="J13" s="10"/>
      <c r="L13" s="10"/>
      <c r="M13" s="10"/>
      <c r="S13" s="10"/>
      <c r="T13" s="10"/>
      <c r="Z13" s="10"/>
      <c r="AA13" s="10"/>
      <c r="AG13" s="10"/>
      <c r="AH13" s="10"/>
      <c r="AL13" s="5"/>
      <c r="AM13" s="6"/>
      <c r="AN13" s="10"/>
      <c r="AO13" s="10"/>
      <c r="AR13" s="0"/>
      <c r="AS13" s="0"/>
      <c r="AU13" s="10"/>
      <c r="AV13" s="10"/>
      <c r="AW13" s="5"/>
      <c r="AX13" s="42"/>
      <c r="AY13" s="42"/>
      <c r="BB13" s="10"/>
      <c r="BC13" s="10"/>
      <c r="BG13" s="5"/>
      <c r="BI13" s="10"/>
      <c r="BJ13" s="10"/>
    </row>
    <row r="14" customFormat="false" ht="12.75" hidden="false" customHeight="false" outlineLevel="0" collapsed="false"/>
    <row r="15" customFormat="false" ht="12.75" hidden="false" customHeight="false" outlineLevel="0" collapsed="false">
      <c r="A15" s="13" t="n">
        <v>0</v>
      </c>
      <c r="B15" s="14"/>
      <c r="C15" s="15" t="n">
        <v>6</v>
      </c>
      <c r="F15" s="13" t="n">
        <v>6</v>
      </c>
      <c r="G15" s="14"/>
      <c r="H15" s="15" t="n">
        <v>13</v>
      </c>
      <c r="K15" s="13" t="n">
        <v>13</v>
      </c>
      <c r="L15" s="14"/>
      <c r="M15" s="15" t="n">
        <v>17</v>
      </c>
      <c r="P15" s="13" t="n">
        <v>17</v>
      </c>
      <c r="Q15" s="14"/>
      <c r="R15" s="15" t="n">
        <v>20</v>
      </c>
      <c r="U15" s="13" t="n">
        <v>24</v>
      </c>
      <c r="V15" s="14"/>
      <c r="W15" s="15" t="n">
        <v>26</v>
      </c>
    </row>
    <row r="16" customFormat="false" ht="12.75" hidden="false" customHeight="false" outlineLevel="0" collapsed="false">
      <c r="A16" s="16" t="s">
        <v>3</v>
      </c>
      <c r="B16" s="16"/>
      <c r="C16" s="16"/>
      <c r="D16" s="17"/>
      <c r="E16" s="17"/>
      <c r="F16" s="16" t="s">
        <v>4</v>
      </c>
      <c r="G16" s="16"/>
      <c r="H16" s="16"/>
      <c r="I16" s="17"/>
      <c r="J16" s="17"/>
      <c r="K16" s="16" t="s">
        <v>2</v>
      </c>
      <c r="L16" s="16"/>
      <c r="M16" s="16"/>
      <c r="N16" s="17"/>
      <c r="O16" s="17"/>
      <c r="P16" s="16" t="s">
        <v>8</v>
      </c>
      <c r="Q16" s="16"/>
      <c r="R16" s="16"/>
      <c r="S16" s="17"/>
      <c r="T16" s="17"/>
      <c r="U16" s="16" t="s">
        <v>10</v>
      </c>
      <c r="V16" s="16"/>
      <c r="W16" s="16"/>
    </row>
    <row r="17" customFormat="false" ht="12.75" hidden="false" customHeight="false" outlineLevel="0" collapsed="false">
      <c r="A17" s="19" t="n">
        <v>6</v>
      </c>
      <c r="B17" s="20" t="n">
        <v>0</v>
      </c>
      <c r="C17" s="21" t="n">
        <v>0</v>
      </c>
      <c r="F17" s="19" t="n">
        <v>7</v>
      </c>
      <c r="G17" s="20" t="n">
        <v>4</v>
      </c>
      <c r="H17" s="21" t="n">
        <v>0</v>
      </c>
      <c r="K17" s="19" t="n">
        <v>4</v>
      </c>
      <c r="L17" s="20" t="n">
        <v>4</v>
      </c>
      <c r="M17" s="21" t="n">
        <v>0</v>
      </c>
      <c r="P17" s="19" t="n">
        <v>3</v>
      </c>
      <c r="Q17" s="20" t="n">
        <v>4</v>
      </c>
      <c r="R17" s="21" t="n">
        <v>4</v>
      </c>
      <c r="U17" s="19" t="n">
        <v>2</v>
      </c>
      <c r="V17" s="20" t="n">
        <v>0</v>
      </c>
      <c r="W17" s="21" t="n">
        <v>0</v>
      </c>
    </row>
    <row r="18" customFormat="false" ht="12.75" hidden="false" customHeight="false" outlineLevel="0" collapsed="false">
      <c r="A18" s="22" t="n">
        <v>0</v>
      </c>
      <c r="B18" s="14"/>
      <c r="C18" s="23" t="n">
        <v>6</v>
      </c>
      <c r="D18" s="24"/>
      <c r="F18" s="22" t="n">
        <v>10</v>
      </c>
      <c r="G18" s="14"/>
      <c r="H18" s="23" t="n">
        <v>17</v>
      </c>
      <c r="K18" s="22" t="n">
        <v>17</v>
      </c>
      <c r="L18" s="14"/>
      <c r="M18" s="23" t="n">
        <v>21</v>
      </c>
      <c r="P18" s="22" t="n">
        <v>21</v>
      </c>
      <c r="Q18" s="14"/>
      <c r="R18" s="23" t="n">
        <v>24</v>
      </c>
      <c r="S18" s="25"/>
      <c r="T18" s="26"/>
      <c r="U18" s="22" t="n">
        <v>24</v>
      </c>
      <c r="V18" s="14"/>
      <c r="W18" s="23" t="n">
        <v>26</v>
      </c>
    </row>
    <row r="19" customFormat="false" ht="12.75" hidden="false" customHeight="false" outlineLevel="0" collapsed="false">
      <c r="D19" s="25"/>
      <c r="S19" s="25"/>
    </row>
    <row r="20" customFormat="false" ht="12.75" hidden="false" customHeight="false" outlineLevel="0" collapsed="false">
      <c r="D20" s="25"/>
      <c r="S20" s="25"/>
    </row>
    <row r="21" customFormat="false" ht="12.75" hidden="false" customHeight="false" outlineLevel="0" collapsed="false">
      <c r="D21" s="25"/>
      <c r="F21" s="13" t="n">
        <v>6</v>
      </c>
      <c r="G21" s="14"/>
      <c r="H21" s="15" t="n">
        <v>13</v>
      </c>
      <c r="K21" s="13" t="n">
        <v>13</v>
      </c>
      <c r="L21" s="14"/>
      <c r="M21" s="15" t="n">
        <v>17</v>
      </c>
      <c r="P21" s="13" t="n">
        <v>18</v>
      </c>
      <c r="Q21" s="14"/>
      <c r="R21" s="15" t="n">
        <v>24</v>
      </c>
      <c r="S21" s="25"/>
    </row>
    <row r="22" customFormat="false" ht="12.75" hidden="false" customHeight="false" outlineLevel="0" collapsed="false">
      <c r="D22" s="25"/>
      <c r="E22" s="17"/>
      <c r="F22" s="16" t="s">
        <v>5</v>
      </c>
      <c r="G22" s="16"/>
      <c r="H22" s="16"/>
      <c r="I22" s="17"/>
      <c r="J22" s="17"/>
      <c r="K22" s="16" t="s">
        <v>6</v>
      </c>
      <c r="L22" s="16"/>
      <c r="M22" s="16"/>
      <c r="N22" s="17"/>
      <c r="O22" s="17"/>
      <c r="P22" s="16" t="s">
        <v>9</v>
      </c>
      <c r="Q22" s="16"/>
      <c r="R22" s="16"/>
      <c r="S22" s="27"/>
    </row>
    <row r="23" customFormat="false" ht="12.75" hidden="false" customHeight="false" outlineLevel="0" collapsed="false">
      <c r="F23" s="19" t="n">
        <v>7</v>
      </c>
      <c r="G23" s="20" t="n">
        <v>0</v>
      </c>
      <c r="H23" s="21" t="n">
        <v>0</v>
      </c>
      <c r="K23" s="19" t="n">
        <v>4</v>
      </c>
      <c r="L23" s="20" t="n">
        <v>1</v>
      </c>
      <c r="M23" s="21" t="n">
        <v>1</v>
      </c>
      <c r="P23" s="19" t="n">
        <v>6</v>
      </c>
      <c r="Q23" s="20" t="n">
        <v>0</v>
      </c>
      <c r="R23" s="21" t="n">
        <v>0</v>
      </c>
    </row>
    <row r="24" customFormat="false" ht="12.75" hidden="false" customHeight="false" outlineLevel="0" collapsed="false">
      <c r="F24" s="22" t="n">
        <v>6</v>
      </c>
      <c r="G24" s="14"/>
      <c r="H24" s="23" t="n">
        <v>13</v>
      </c>
      <c r="I24" s="24"/>
      <c r="K24" s="22" t="n">
        <v>14</v>
      </c>
      <c r="L24" s="14"/>
      <c r="M24" s="23" t="n">
        <v>18</v>
      </c>
      <c r="N24" s="25"/>
      <c r="O24" s="26"/>
      <c r="P24" s="22" t="n">
        <v>18</v>
      </c>
      <c r="Q24" s="14"/>
      <c r="R24" s="23" t="n">
        <v>24</v>
      </c>
    </row>
    <row r="25" customFormat="false" ht="12.75" hidden="false" customHeight="false" outlineLevel="0" collapsed="false">
      <c r="I25" s="25"/>
      <c r="N25" s="25"/>
    </row>
    <row r="26" customFormat="false" ht="12.75" hidden="false" customHeight="false" outlineLevel="0" collapsed="false">
      <c r="I26" s="25"/>
      <c r="N26" s="25"/>
    </row>
    <row r="27" customFormat="false" ht="12.75" hidden="false" customHeight="false" outlineLevel="0" collapsed="false">
      <c r="I27" s="25"/>
      <c r="K27" s="13" t="n">
        <v>13</v>
      </c>
      <c r="L27" s="14"/>
      <c r="M27" s="15" t="n">
        <v>18</v>
      </c>
      <c r="N27" s="25"/>
    </row>
    <row r="28" customFormat="false" ht="12.75" hidden="false" customHeight="false" outlineLevel="0" collapsed="false">
      <c r="I28" s="25"/>
      <c r="J28" s="17"/>
      <c r="K28" s="16" t="s">
        <v>7</v>
      </c>
      <c r="L28" s="16"/>
      <c r="M28" s="16"/>
      <c r="N28" s="27"/>
    </row>
    <row r="29" customFormat="false" ht="12.75" hidden="false" customHeight="false" outlineLevel="0" collapsed="false">
      <c r="K29" s="19" t="n">
        <v>5</v>
      </c>
      <c r="L29" s="20" t="n">
        <v>0</v>
      </c>
      <c r="M29" s="21" t="n">
        <v>0</v>
      </c>
    </row>
    <row r="30" customFormat="false" ht="12.75" hidden="false" customHeight="false" outlineLevel="0" collapsed="false">
      <c r="K30" s="22" t="n">
        <v>13</v>
      </c>
      <c r="L30" s="14"/>
      <c r="M30" s="23" t="n">
        <v>18</v>
      </c>
    </row>
    <row r="31" customFormat="false" ht="12.75" hidden="false" customHeight="false" outlineLevel="0" collapsed="false"/>
  </sheetData>
  <mergeCells count="11">
    <mergeCell ref="B1:D1"/>
    <mergeCell ref="A11:E11"/>
    <mergeCell ref="A16:C16"/>
    <mergeCell ref="F16:H16"/>
    <mergeCell ref="K16:M16"/>
    <mergeCell ref="P16:R16"/>
    <mergeCell ref="U16:W16"/>
    <mergeCell ref="F22:H22"/>
    <mergeCell ref="K22:M22"/>
    <mergeCell ref="P22:R22"/>
    <mergeCell ref="K28:M28"/>
  </mergeCells>
  <conditionalFormatting sqref="B17 G17 G23 L17 L23 L29 Q17 Q23 V17">
    <cfRule type="cellIs" priority="2" operator="equal" aboveAverage="0" equalAverage="0" bottom="0" percent="0" rank="0" text="" dxfId="2">
      <formula>0</formula>
    </cfRule>
  </conditionalFormatting>
  <conditionalFormatting sqref="E10:E11">
    <cfRule type="cellIs" priority="3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H5" activeCellId="0" sqref="AH5:AH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6" min="1" style="3" width="3.86"/>
    <col collapsed="false" customWidth="true" hidden="false" outlineLevel="0" max="7" min="7" style="3" width="4.87"/>
    <col collapsed="false" customWidth="true" hidden="false" outlineLevel="0" max="57" min="8" style="3" width="3.86"/>
    <col collapsed="false" customWidth="true" hidden="false" outlineLevel="0" max="96" min="58" style="3" width="3.83"/>
  </cols>
  <sheetData>
    <row r="1" customFormat="false" ht="38.8" hidden="false" customHeight="false" outlineLevel="0" collapsed="false">
      <c r="A1" s="2" t="s">
        <v>0</v>
      </c>
      <c r="B1" s="2" t="s">
        <v>1</v>
      </c>
      <c r="C1" s="2"/>
      <c r="D1" s="2"/>
      <c r="E1" s="2" t="s">
        <v>43</v>
      </c>
      <c r="F1" s="2" t="s">
        <v>44</v>
      </c>
      <c r="G1" s="2" t="s">
        <v>45</v>
      </c>
      <c r="H1" s="2" t="s">
        <v>2</v>
      </c>
      <c r="I1" s="4" t="n">
        <f aca="false">Übung2!G1</f>
        <v>45775</v>
      </c>
      <c r="J1" s="4" t="n">
        <f aca="false">Übung2!H1</f>
        <v>45776</v>
      </c>
      <c r="K1" s="4" t="n">
        <f aca="false">Übung2!I1</f>
        <v>45777</v>
      </c>
      <c r="L1" s="5" t="n">
        <f aca="false">Übung2!J1</f>
        <v>45778</v>
      </c>
      <c r="M1" s="4" t="n">
        <f aca="false">Übung2!K1</f>
        <v>45779</v>
      </c>
      <c r="N1" s="4" t="n">
        <f aca="false">Übung2!L1</f>
        <v>45780</v>
      </c>
      <c r="O1" s="5" t="n">
        <f aca="false">Übung2!M1</f>
        <v>45781</v>
      </c>
      <c r="P1" s="5" t="n">
        <f aca="false">Übung2!N1</f>
        <v>45782</v>
      </c>
      <c r="Q1" s="4" t="n">
        <f aca="false">Übung2!O1</f>
        <v>45783</v>
      </c>
      <c r="R1" s="4" t="n">
        <f aca="false">Übung2!P1</f>
        <v>45784</v>
      </c>
      <c r="S1" s="4" t="n">
        <f aca="false">Übung2!Q1</f>
        <v>45785</v>
      </c>
      <c r="T1" s="4" t="n">
        <f aca="false">Übung2!R1</f>
        <v>45786</v>
      </c>
      <c r="U1" s="4" t="n">
        <f aca="false">Übung2!S1</f>
        <v>45787</v>
      </c>
      <c r="V1" s="5" t="n">
        <f aca="false">Übung2!T1</f>
        <v>45788</v>
      </c>
      <c r="W1" s="5" t="n">
        <f aca="false">Übung2!U1</f>
        <v>45789</v>
      </c>
      <c r="X1" s="4" t="n">
        <f aca="false">Übung2!V1</f>
        <v>45790</v>
      </c>
      <c r="Y1" s="4" t="n">
        <f aca="false">Übung2!W1</f>
        <v>45791</v>
      </c>
      <c r="Z1" s="4" t="n">
        <f aca="false">Übung2!X1</f>
        <v>45792</v>
      </c>
      <c r="AA1" s="4" t="n">
        <f aca="false">Übung2!Y1</f>
        <v>45793</v>
      </c>
      <c r="AB1" s="4" t="n">
        <f aca="false">Übung2!Z1</f>
        <v>45794</v>
      </c>
      <c r="AC1" s="5" t="n">
        <f aca="false">Übung2!AA1</f>
        <v>45795</v>
      </c>
      <c r="AD1" s="5" t="n">
        <f aca="false">Übung2!AB1</f>
        <v>45796</v>
      </c>
      <c r="AE1" s="4" t="n">
        <f aca="false">Übung2!AC1</f>
        <v>45797</v>
      </c>
      <c r="AF1" s="4" t="n">
        <f aca="false">Übung2!AD1</f>
        <v>45798</v>
      </c>
      <c r="AG1" s="4" t="n">
        <f aca="false">Übung2!AE1</f>
        <v>45799</v>
      </c>
      <c r="AH1" s="4" t="n">
        <f aca="false">Übung2!AF1</f>
        <v>45800</v>
      </c>
      <c r="AI1" s="4" t="n">
        <f aca="false">Übung2!AG1</f>
        <v>45801</v>
      </c>
      <c r="AJ1" s="5" t="n">
        <f aca="false">Übung2!AH1</f>
        <v>45802</v>
      </c>
      <c r="AK1" s="5" t="n">
        <f aca="false">Übung2!AI1</f>
        <v>45803</v>
      </c>
      <c r="AL1" s="4" t="n">
        <f aca="false">Übung2!AJ1</f>
        <v>45804</v>
      </c>
      <c r="AM1" s="4" t="n">
        <f aca="false">Übung2!AK1</f>
        <v>45805</v>
      </c>
      <c r="AN1" s="4" t="n">
        <f aca="false">Übung2!AL1</f>
        <v>45806</v>
      </c>
      <c r="AO1" s="5" t="n">
        <f aca="false">Übung2!AM1</f>
        <v>45807</v>
      </c>
      <c r="AP1" s="6" t="n">
        <f aca="false">Übung2!AN1</f>
        <v>45808</v>
      </c>
      <c r="AQ1" s="5" t="n">
        <f aca="false">Übung2!AO1</f>
        <v>45809</v>
      </c>
      <c r="AR1" s="5" t="n">
        <f aca="false">Übung2!AP1</f>
        <v>45810</v>
      </c>
      <c r="AS1" s="4" t="n">
        <f aca="false">Übung2!AQ1</f>
        <v>45811</v>
      </c>
      <c r="AT1" s="4" t="n">
        <f aca="false">Übung2!AR1</f>
        <v>45812</v>
      </c>
      <c r="AU1" s="4" t="n">
        <f aca="false">Übung2!AS1</f>
        <v>45813</v>
      </c>
      <c r="AV1" s="4" t="n">
        <f aca="false">Übung2!AT1</f>
        <v>45814</v>
      </c>
      <c r="AW1" s="4" t="n">
        <f aca="false">Übung2!AU1</f>
        <v>45815</v>
      </c>
      <c r="AX1" s="5" t="n">
        <f aca="false">Übung2!AV1</f>
        <v>45816</v>
      </c>
      <c r="AY1" s="5" t="n">
        <f aca="false">Übung2!AW1</f>
        <v>45817</v>
      </c>
      <c r="AZ1" s="5" t="n">
        <f aca="false">Übung2!AX1</f>
        <v>45818</v>
      </c>
      <c r="BA1" s="4" t="n">
        <f aca="false">Übung2!AY1</f>
        <v>45819</v>
      </c>
      <c r="BB1" s="4" t="n">
        <f aca="false">Übung2!AZ1</f>
        <v>45820</v>
      </c>
      <c r="BC1" s="4" t="n">
        <f aca="false">Übung2!BA1</f>
        <v>45821</v>
      </c>
      <c r="BD1" s="4" t="n">
        <f aca="false">Übung2!BB1</f>
        <v>45822</v>
      </c>
      <c r="BE1" s="5" t="n">
        <f aca="false">Übung2!BC1</f>
        <v>45823</v>
      </c>
      <c r="BF1" s="5" t="n">
        <f aca="false">Übung2!BD1</f>
        <v>45824</v>
      </c>
      <c r="BG1" s="4" t="n">
        <f aca="false">Übung2!BE1</f>
        <v>45825</v>
      </c>
      <c r="BH1" s="4" t="n">
        <f aca="false">Übung2!BF1</f>
        <v>45826</v>
      </c>
      <c r="BI1" s="4" t="n">
        <f aca="false">Übung2!BG1</f>
        <v>45827</v>
      </c>
      <c r="BJ1" s="5" t="n">
        <f aca="false">Übung2!BH1</f>
        <v>45828</v>
      </c>
      <c r="BK1" s="4" t="n">
        <f aca="false">Übung2!BI1</f>
        <v>45829</v>
      </c>
      <c r="BL1" s="5" t="n">
        <f aca="false">Übung2!BJ1</f>
        <v>45830</v>
      </c>
      <c r="BM1" s="5" t="n">
        <f aca="false">Übung2!BK1</f>
        <v>45831</v>
      </c>
      <c r="BN1" s="4" t="n">
        <f aca="false">Übung2!BL1</f>
        <v>45832</v>
      </c>
      <c r="BO1" s="4" t="n">
        <f aca="false">Übung2!BM1</f>
        <v>0</v>
      </c>
      <c r="BP1" s="4" t="n">
        <f aca="false">Übung2!BN1</f>
        <v>0</v>
      </c>
      <c r="BQ1" s="4" t="n">
        <f aca="false">Übung2!BO1</f>
        <v>0</v>
      </c>
      <c r="BR1" s="4" t="n">
        <f aca="false">Übung2!BP1</f>
        <v>0</v>
      </c>
      <c r="BS1" s="5" t="n">
        <f aca="false">Übung2!BQ1</f>
        <v>0</v>
      </c>
      <c r="BT1" s="5" t="n">
        <f aca="false">Übung2!BR1</f>
        <v>0</v>
      </c>
      <c r="BU1" s="4" t="n">
        <f aca="false">Übung2!BS1</f>
        <v>0</v>
      </c>
      <c r="BV1" s="4" t="n">
        <f aca="false">Übung2!BT1</f>
        <v>0</v>
      </c>
      <c r="BW1" s="4" t="n">
        <f aca="false">Übung2!BU1</f>
        <v>0</v>
      </c>
      <c r="BX1" s="4" t="n">
        <f aca="false">Übung2!BV1</f>
        <v>0</v>
      </c>
      <c r="BY1" s="4" t="n">
        <f aca="false">Übung2!BW1</f>
        <v>0</v>
      </c>
      <c r="BZ1" s="4" t="n">
        <f aca="false">Übung2!BX1</f>
        <v>0</v>
      </c>
      <c r="CA1" s="4" t="n">
        <f aca="false">Übung2!BY1</f>
        <v>0</v>
      </c>
      <c r="CB1" s="4" t="n">
        <f aca="false">Übung2!BZ1</f>
        <v>0</v>
      </c>
      <c r="CC1" s="4" t="n">
        <f aca="false">Übung2!CA1</f>
        <v>0</v>
      </c>
      <c r="CD1" s="4" t="n">
        <f aca="false">Übung2!CB1</f>
        <v>0</v>
      </c>
      <c r="CE1" s="4" t="n">
        <f aca="false">Übung2!CC1</f>
        <v>0</v>
      </c>
      <c r="CF1" s="4" t="n">
        <f aca="false">Übung2!CD1</f>
        <v>0</v>
      </c>
      <c r="CG1" s="4" t="n">
        <f aca="false">Übung2!CE1</f>
        <v>0</v>
      </c>
      <c r="CH1" s="4" t="n">
        <f aca="false">Übung2!CF1</f>
        <v>0</v>
      </c>
      <c r="CI1" s="4" t="n">
        <f aca="false">Übung2!CG1</f>
        <v>0</v>
      </c>
      <c r="CJ1" s="4" t="n">
        <f aca="false">Übung2!CH1</f>
        <v>0</v>
      </c>
      <c r="CK1" s="4" t="n">
        <f aca="false">Übung2!CI1</f>
        <v>0</v>
      </c>
      <c r="CL1" s="4" t="n">
        <f aca="false">Übung2!CJ1</f>
        <v>0</v>
      </c>
      <c r="CM1" s="4" t="n">
        <f aca="false">Übung2!CK1</f>
        <v>0</v>
      </c>
      <c r="CN1" s="4" t="n">
        <f aca="false">Übung2!CL1</f>
        <v>0</v>
      </c>
      <c r="CO1" s="4" t="n">
        <f aca="false">Übung2!CM1</f>
        <v>0</v>
      </c>
      <c r="CP1" s="4" t="n">
        <f aca="false">Übung2!CN1</f>
        <v>0</v>
      </c>
      <c r="CQ1" s="4" t="n">
        <f aca="false">Übung2!CO1</f>
        <v>0</v>
      </c>
      <c r="CR1" s="4" t="n">
        <f aca="false">Übung2!CP1</f>
        <v>0</v>
      </c>
      <c r="CS1" s="4" t="n">
        <f aca="false">Übung2!CQ1</f>
        <v>0</v>
      </c>
      <c r="CT1" s="4" t="n">
        <f aca="false">Übung2!CR1</f>
        <v>0</v>
      </c>
      <c r="CU1" s="4" t="n">
        <f aca="false">Übung2!CS1</f>
        <v>0</v>
      </c>
      <c r="CV1" s="4" t="n">
        <f aca="false">Übung2!CT1</f>
        <v>0</v>
      </c>
      <c r="CW1" s="4" t="n">
        <f aca="false">Übung2!CU1</f>
        <v>0</v>
      </c>
      <c r="CX1" s="4" t="n">
        <f aca="false">Übung2!CV1</f>
        <v>0</v>
      </c>
      <c r="CY1" s="4" t="n">
        <f aca="false">Übung2!CW1</f>
        <v>0</v>
      </c>
      <c r="CZ1" s="4" t="n">
        <f aca="false">Übung2!CX1</f>
        <v>0</v>
      </c>
      <c r="DA1" s="4" t="n">
        <f aca="false">Übung2!CY1</f>
        <v>0</v>
      </c>
      <c r="DB1" s="4" t="n">
        <f aca="false">Übung2!CZ1</f>
        <v>0</v>
      </c>
      <c r="DC1" s="4" t="n">
        <f aca="false">Übung2!DA1</f>
        <v>0</v>
      </c>
      <c r="DD1" s="4" t="n">
        <f aca="false">Übung2!DB1</f>
        <v>0</v>
      </c>
      <c r="DE1" s="4" t="n">
        <f aca="false">Übung2!DC1</f>
        <v>0</v>
      </c>
      <c r="DF1" s="4" t="n">
        <f aca="false">Übung2!DD1</f>
        <v>0</v>
      </c>
      <c r="DG1" s="4" t="n">
        <f aca="false">Übung2!DE1</f>
        <v>0</v>
      </c>
      <c r="DH1" s="4" t="n">
        <f aca="false">Übung2!DF1</f>
        <v>0</v>
      </c>
      <c r="DI1" s="4" t="n">
        <f aca="false">Übung2!DG1</f>
        <v>0</v>
      </c>
    </row>
    <row r="2" customFormat="false" ht="12.75" hidden="false" customHeight="false" outlineLevel="0" collapsed="false">
      <c r="A2" s="7" t="s">
        <v>3</v>
      </c>
      <c r="B2" s="8" t="s">
        <v>4</v>
      </c>
      <c r="C2" s="8" t="s">
        <v>5</v>
      </c>
      <c r="D2" s="8" t="s">
        <v>2</v>
      </c>
      <c r="E2" s="7" t="n">
        <v>15</v>
      </c>
      <c r="F2" s="8" t="n">
        <v>3</v>
      </c>
      <c r="G2" s="48" t="n">
        <v>1</v>
      </c>
      <c r="H2" s="7" t="n">
        <f aca="false">ROUNDUP(E2/(F2*G2),0)</f>
        <v>5</v>
      </c>
      <c r="J2" s="42"/>
      <c r="K2" s="42"/>
      <c r="L2" s="10"/>
      <c r="M2" s="42"/>
      <c r="N2" s="42"/>
      <c r="O2" s="10"/>
      <c r="P2" s="10"/>
      <c r="Q2" s="42"/>
      <c r="R2" s="42"/>
      <c r="S2" s="42"/>
      <c r="T2" s="42"/>
      <c r="U2" s="42"/>
      <c r="V2" s="10"/>
      <c r="W2" s="10"/>
      <c r="X2" s="42"/>
      <c r="Y2" s="42"/>
      <c r="Z2" s="42"/>
      <c r="AA2" s="42"/>
      <c r="AB2" s="42"/>
      <c r="AC2" s="10"/>
      <c r="AD2" s="10"/>
      <c r="AE2" s="43"/>
      <c r="AJ2" s="10"/>
      <c r="AK2" s="10"/>
      <c r="AO2" s="5"/>
      <c r="AP2" s="6"/>
      <c r="AQ2" s="10"/>
      <c r="AR2" s="10"/>
      <c r="AX2" s="10"/>
      <c r="AY2" s="10"/>
      <c r="AZ2" s="5"/>
      <c r="BE2" s="10"/>
      <c r="BF2" s="10"/>
      <c r="BJ2" s="5"/>
      <c r="BL2" s="10"/>
      <c r="BM2" s="10"/>
      <c r="BN2" s="42"/>
      <c r="BO2" s="42"/>
      <c r="BP2" s="42"/>
      <c r="BQ2" s="42"/>
      <c r="BR2" s="42"/>
      <c r="BS2" s="10"/>
      <c r="BT2" s="10"/>
      <c r="CS2" s="3"/>
      <c r="CT2" s="3"/>
      <c r="CU2" s="3"/>
    </row>
    <row r="3" customFormat="false" ht="12.75" hidden="false" customHeight="false" outlineLevel="0" collapsed="false">
      <c r="A3" s="7" t="s">
        <v>4</v>
      </c>
      <c r="B3" s="8" t="s">
        <v>8</v>
      </c>
      <c r="C3" s="8"/>
      <c r="D3" s="8"/>
      <c r="E3" s="7" t="n">
        <v>6</v>
      </c>
      <c r="F3" s="8" t="n">
        <v>1</v>
      </c>
      <c r="G3" s="48" t="n">
        <v>0.5</v>
      </c>
      <c r="H3" s="7" t="n">
        <f aca="false">ROUNDUP(E3/(F3*G3),0)</f>
        <v>12</v>
      </c>
      <c r="L3" s="10"/>
      <c r="O3" s="10"/>
      <c r="P3" s="10"/>
      <c r="V3" s="10"/>
      <c r="W3" s="10"/>
      <c r="AC3" s="10"/>
      <c r="AD3" s="10"/>
      <c r="AE3" s="42"/>
      <c r="AF3" s="42"/>
      <c r="AG3" s="42"/>
      <c r="AH3" s="42"/>
      <c r="AI3" s="42"/>
      <c r="AJ3" s="10"/>
      <c r="AK3" s="10"/>
      <c r="AL3" s="42"/>
      <c r="AO3" s="5"/>
      <c r="AP3" s="6"/>
      <c r="AQ3" s="10"/>
      <c r="AR3" s="10"/>
      <c r="AX3" s="10"/>
      <c r="AY3" s="10"/>
      <c r="AZ3" s="5"/>
      <c r="BE3" s="10"/>
      <c r="BF3" s="10"/>
      <c r="BJ3" s="5"/>
      <c r="BL3" s="10"/>
      <c r="BM3" s="10"/>
      <c r="BS3" s="10"/>
      <c r="BT3" s="10"/>
      <c r="CS3" s="3"/>
      <c r="CT3" s="3"/>
      <c r="CU3" s="3"/>
    </row>
    <row r="4" customFormat="false" ht="12.75" hidden="false" customHeight="false" outlineLevel="0" collapsed="false">
      <c r="A4" s="7" t="s">
        <v>5</v>
      </c>
      <c r="B4" s="8" t="s">
        <v>6</v>
      </c>
      <c r="C4" s="8"/>
      <c r="D4" s="8"/>
      <c r="E4" s="7" t="n">
        <v>14</v>
      </c>
      <c r="F4" s="8" t="n">
        <v>1</v>
      </c>
      <c r="G4" s="48" t="n">
        <v>1.5</v>
      </c>
      <c r="H4" s="7" t="n">
        <f aca="false">ROUNDUP(E4/(F4*G4),0)</f>
        <v>10</v>
      </c>
      <c r="L4" s="10"/>
      <c r="O4" s="10"/>
      <c r="P4" s="10"/>
      <c r="V4" s="10"/>
      <c r="W4" s="10"/>
      <c r="AC4" s="10"/>
      <c r="AD4" s="10"/>
      <c r="AE4" s="42"/>
      <c r="AF4" s="42"/>
      <c r="AG4" s="42"/>
      <c r="AH4" s="42"/>
      <c r="AI4" s="42"/>
      <c r="AJ4" s="10"/>
      <c r="AK4" s="10"/>
      <c r="AL4" s="42"/>
      <c r="AM4" s="42"/>
      <c r="AN4" s="42"/>
      <c r="AO4" s="5"/>
      <c r="AP4" s="6"/>
      <c r="AQ4" s="10"/>
      <c r="AR4" s="10"/>
      <c r="AS4" s="42"/>
      <c r="AT4" s="42"/>
      <c r="AU4" s="42"/>
      <c r="AV4" s="42"/>
      <c r="AX4" s="10"/>
      <c r="AY4" s="10"/>
      <c r="AZ4" s="5"/>
      <c r="BE4" s="10"/>
      <c r="BF4" s="10"/>
      <c r="BJ4" s="5"/>
      <c r="BL4" s="10"/>
      <c r="BM4" s="10"/>
      <c r="BS4" s="10"/>
      <c r="BT4" s="10"/>
      <c r="CS4" s="3"/>
      <c r="CT4" s="3"/>
      <c r="CU4" s="3"/>
    </row>
    <row r="5" customFormat="false" ht="12.75" hidden="false" customHeight="false" outlineLevel="0" collapsed="false">
      <c r="A5" s="7" t="s">
        <v>2</v>
      </c>
      <c r="B5" s="8" t="s">
        <v>7</v>
      </c>
      <c r="C5" s="8"/>
      <c r="D5" s="8"/>
      <c r="E5" s="7" t="n">
        <v>6</v>
      </c>
      <c r="F5" s="8" t="n">
        <v>1</v>
      </c>
      <c r="G5" s="48" t="n">
        <v>1</v>
      </c>
      <c r="H5" s="7" t="n">
        <f aca="false">ROUNDUP(E5/(F5*G5),0)</f>
        <v>6</v>
      </c>
      <c r="L5" s="10"/>
      <c r="O5" s="10"/>
      <c r="P5" s="10"/>
      <c r="V5" s="10"/>
      <c r="W5" s="10"/>
      <c r="AC5" s="10"/>
      <c r="AD5" s="10"/>
      <c r="AE5" s="42"/>
      <c r="AF5" s="42"/>
      <c r="AG5" s="42"/>
      <c r="AH5" s="42"/>
      <c r="AI5" s="42"/>
      <c r="AJ5" s="10"/>
      <c r="AK5" s="10"/>
      <c r="AL5" s="42"/>
      <c r="AO5" s="5"/>
      <c r="AP5" s="6"/>
      <c r="AQ5" s="10"/>
      <c r="AR5" s="10"/>
      <c r="AX5" s="10"/>
      <c r="AY5" s="10"/>
      <c r="AZ5" s="5"/>
      <c r="BE5" s="10"/>
      <c r="BF5" s="10"/>
      <c r="BJ5" s="5"/>
      <c r="BL5" s="10"/>
      <c r="BM5" s="10"/>
      <c r="BS5" s="10"/>
      <c r="BT5" s="10"/>
      <c r="CS5" s="3"/>
      <c r="CT5" s="3"/>
      <c r="CU5" s="3"/>
    </row>
    <row r="6" customFormat="false" ht="12.75" hidden="false" customHeight="false" outlineLevel="0" collapsed="false">
      <c r="A6" s="7" t="s">
        <v>6</v>
      </c>
      <c r="B6" s="8" t="s">
        <v>9</v>
      </c>
      <c r="C6" s="8"/>
      <c r="D6" s="8"/>
      <c r="E6" s="7" t="n">
        <v>15</v>
      </c>
      <c r="F6" s="8" t="n">
        <v>1</v>
      </c>
      <c r="G6" s="48" t="n">
        <v>1.75</v>
      </c>
      <c r="H6" s="7" t="n">
        <f aca="false">ROUNDUP(E6/(F6*G6),0)</f>
        <v>9</v>
      </c>
      <c r="L6" s="10"/>
      <c r="O6" s="10"/>
      <c r="P6" s="10"/>
      <c r="V6" s="10"/>
      <c r="W6" s="10"/>
      <c r="AC6" s="10"/>
      <c r="AD6" s="10"/>
      <c r="AJ6" s="10"/>
      <c r="AK6" s="10"/>
      <c r="AO6" s="5"/>
      <c r="AP6" s="6"/>
      <c r="AQ6" s="10"/>
      <c r="AR6" s="10"/>
      <c r="AX6" s="10"/>
      <c r="AY6" s="10"/>
      <c r="AZ6" s="5"/>
      <c r="BE6" s="10"/>
      <c r="BF6" s="10"/>
      <c r="BJ6" s="5"/>
      <c r="BL6" s="10"/>
      <c r="BM6" s="10"/>
      <c r="BS6" s="10"/>
      <c r="BT6" s="10"/>
      <c r="CS6" s="3"/>
      <c r="CT6" s="3"/>
      <c r="CU6" s="3"/>
    </row>
    <row r="7" customFormat="false" ht="12.75" hidden="false" customHeight="false" outlineLevel="0" collapsed="false">
      <c r="A7" s="7" t="s">
        <v>7</v>
      </c>
      <c r="B7" s="8" t="s">
        <v>9</v>
      </c>
      <c r="C7" s="8"/>
      <c r="D7" s="8"/>
      <c r="E7" s="7" t="n">
        <v>14</v>
      </c>
      <c r="F7" s="8" t="n">
        <v>1</v>
      </c>
      <c r="G7" s="48" t="n">
        <v>0.75</v>
      </c>
      <c r="H7" s="7" t="n">
        <f aca="false">ROUNDUP(E7/(F7*G7),0)</f>
        <v>19</v>
      </c>
      <c r="L7" s="10"/>
      <c r="O7" s="10"/>
      <c r="P7" s="10"/>
      <c r="V7" s="10"/>
      <c r="W7" s="10"/>
      <c r="AC7" s="10"/>
      <c r="AD7" s="10"/>
      <c r="AJ7" s="10"/>
      <c r="AK7" s="10"/>
      <c r="AO7" s="5"/>
      <c r="AP7" s="6"/>
      <c r="AQ7" s="10"/>
      <c r="AR7" s="10"/>
      <c r="AX7" s="10"/>
      <c r="AY7" s="10"/>
      <c r="AZ7" s="5"/>
      <c r="BE7" s="10"/>
      <c r="BF7" s="10"/>
      <c r="BJ7" s="5"/>
      <c r="BL7" s="10"/>
      <c r="BM7" s="10"/>
      <c r="BS7" s="10"/>
      <c r="BT7" s="10"/>
      <c r="CS7" s="3"/>
      <c r="CT7" s="3"/>
      <c r="CU7" s="3"/>
    </row>
    <row r="8" customFormat="false" ht="12.75" hidden="false" customHeight="false" outlineLevel="0" collapsed="false">
      <c r="A8" s="7" t="s">
        <v>8</v>
      </c>
      <c r="B8" s="8" t="s">
        <v>10</v>
      </c>
      <c r="C8" s="8" t="s">
        <v>12</v>
      </c>
      <c r="D8" s="8"/>
      <c r="E8" s="7" t="n">
        <v>7</v>
      </c>
      <c r="F8" s="8" t="n">
        <v>1</v>
      </c>
      <c r="G8" s="48" t="n">
        <v>0.5</v>
      </c>
      <c r="H8" s="7" t="n">
        <f aca="false">ROUNDUP(E8/(F8*G8),0)</f>
        <v>14</v>
      </c>
      <c r="L8" s="10"/>
      <c r="O8" s="10"/>
      <c r="P8" s="10"/>
      <c r="V8" s="10"/>
      <c r="W8" s="10"/>
      <c r="AC8" s="10"/>
      <c r="AD8" s="10"/>
      <c r="AJ8" s="10"/>
      <c r="AK8" s="10"/>
      <c r="AO8" s="5"/>
      <c r="AP8" s="6"/>
      <c r="AQ8" s="10"/>
      <c r="AR8" s="10"/>
      <c r="AX8" s="10"/>
      <c r="AY8" s="10"/>
      <c r="AZ8" s="5"/>
      <c r="BE8" s="10"/>
      <c r="BF8" s="10"/>
      <c r="BJ8" s="5"/>
      <c r="BL8" s="10"/>
      <c r="BM8" s="10"/>
      <c r="BS8" s="10"/>
      <c r="BT8" s="10"/>
      <c r="CS8" s="3"/>
      <c r="CT8" s="3"/>
      <c r="CU8" s="3"/>
    </row>
    <row r="9" customFormat="false" ht="12.75" hidden="false" customHeight="false" outlineLevel="0" collapsed="false">
      <c r="A9" s="7" t="s">
        <v>9</v>
      </c>
      <c r="B9" s="8" t="s">
        <v>10</v>
      </c>
      <c r="C9" s="8"/>
      <c r="D9" s="8"/>
      <c r="E9" s="7" t="n">
        <v>15</v>
      </c>
      <c r="F9" s="8" t="n">
        <v>1</v>
      </c>
      <c r="G9" s="48" t="n">
        <v>1.5</v>
      </c>
      <c r="H9" s="7" t="n">
        <f aca="false">ROUNDUP(E9/(F9*G9),0)</f>
        <v>10</v>
      </c>
      <c r="L9" s="10"/>
      <c r="O9" s="10"/>
      <c r="P9" s="10"/>
      <c r="V9" s="10"/>
      <c r="W9" s="10"/>
      <c r="AC9" s="10"/>
      <c r="AD9" s="10"/>
      <c r="AJ9" s="10"/>
      <c r="AK9" s="10"/>
      <c r="AO9" s="5"/>
      <c r="AP9" s="6"/>
      <c r="AQ9" s="10"/>
      <c r="AR9" s="10"/>
      <c r="AX9" s="10"/>
      <c r="AY9" s="10"/>
      <c r="AZ9" s="5"/>
      <c r="BE9" s="10"/>
      <c r="BF9" s="10"/>
      <c r="BJ9" s="5"/>
      <c r="BL9" s="10"/>
      <c r="BM9" s="10"/>
      <c r="BS9" s="10"/>
      <c r="BT9" s="10"/>
      <c r="CS9" s="3"/>
      <c r="CT9" s="3"/>
      <c r="CU9" s="3"/>
    </row>
    <row r="10" customFormat="false" ht="12.75" hidden="false" customHeight="false" outlineLevel="0" collapsed="false">
      <c r="A10" s="7" t="s">
        <v>10</v>
      </c>
      <c r="B10" s="8"/>
      <c r="C10" s="8"/>
      <c r="D10" s="8"/>
      <c r="E10" s="7" t="n">
        <v>4</v>
      </c>
      <c r="F10" s="8" t="n">
        <v>3</v>
      </c>
      <c r="G10" s="48" t="n">
        <v>1</v>
      </c>
      <c r="H10" s="7" t="n">
        <f aca="false">ROUNDUP(E10/(F10*G10),0)</f>
        <v>2</v>
      </c>
      <c r="L10" s="10"/>
      <c r="O10" s="10"/>
      <c r="P10" s="10"/>
      <c r="V10" s="10"/>
      <c r="W10" s="10"/>
      <c r="AC10" s="10"/>
      <c r="AD10" s="10"/>
      <c r="AJ10" s="10"/>
      <c r="AK10" s="10"/>
      <c r="AO10" s="5"/>
      <c r="AP10" s="6"/>
      <c r="AQ10" s="10"/>
      <c r="AR10" s="10"/>
      <c r="AX10" s="10"/>
      <c r="AY10" s="10"/>
      <c r="AZ10" s="5"/>
      <c r="BE10" s="10"/>
      <c r="BF10" s="10"/>
      <c r="BJ10" s="5"/>
      <c r="BL10" s="10"/>
      <c r="BM10" s="10"/>
      <c r="BS10" s="10"/>
      <c r="BT10" s="10"/>
      <c r="CS10" s="3"/>
      <c r="CT10" s="3"/>
      <c r="CU10" s="3"/>
    </row>
    <row r="11" customFormat="false" ht="12.75" hidden="false" customHeight="false" outlineLevel="0" collapsed="false"/>
    <row r="12" customFormat="false" ht="12.75" hidden="false" customHeight="false" outlineLevel="0" collapsed="false">
      <c r="A12" s="13" t="n">
        <v>0</v>
      </c>
      <c r="B12" s="14"/>
      <c r="C12" s="15" t="n">
        <f aca="false">A12+A14</f>
        <v>5</v>
      </c>
      <c r="F12" s="13" t="n">
        <f aca="false">$C$12</f>
        <v>5</v>
      </c>
      <c r="G12" s="14"/>
      <c r="H12" s="15" t="n">
        <f aca="false">F12+F14</f>
        <v>17</v>
      </c>
      <c r="K12" s="13" t="n">
        <f aca="false">H12</f>
        <v>17</v>
      </c>
      <c r="L12" s="14"/>
      <c r="M12" s="15" t="n">
        <f aca="false">K12+K14</f>
        <v>31</v>
      </c>
      <c r="U12" s="13" t="n">
        <f aca="false">MAX(M12,R18)</f>
        <v>40</v>
      </c>
      <c r="V12" s="14"/>
      <c r="W12" s="15" t="n">
        <f aca="false">U12+U14</f>
        <v>42</v>
      </c>
    </row>
    <row r="13" customFormat="false" ht="12.75" hidden="false" customHeight="false" outlineLevel="0" collapsed="false">
      <c r="A13" s="16" t="s">
        <v>3</v>
      </c>
      <c r="B13" s="16"/>
      <c r="C13" s="16"/>
      <c r="D13" s="17"/>
      <c r="E13" s="17"/>
      <c r="F13" s="16" t="s">
        <v>4</v>
      </c>
      <c r="G13" s="16"/>
      <c r="H13" s="16"/>
      <c r="I13" s="17"/>
      <c r="J13" s="17"/>
      <c r="K13" s="16" t="s">
        <v>8</v>
      </c>
      <c r="L13" s="16"/>
      <c r="M13" s="16"/>
      <c r="N13" s="17"/>
      <c r="O13" s="17"/>
      <c r="P13" s="17"/>
      <c r="Q13" s="17"/>
      <c r="R13" s="17"/>
      <c r="S13" s="17"/>
      <c r="T13" s="17"/>
      <c r="U13" s="16" t="s">
        <v>10</v>
      </c>
      <c r="V13" s="16"/>
      <c r="W13" s="16"/>
    </row>
    <row r="14" customFormat="false" ht="12.75" hidden="false" customHeight="false" outlineLevel="0" collapsed="false">
      <c r="A14" s="19" t="n">
        <f aca="false">VLOOKUP(A13,$A$2:$H$10,8)</f>
        <v>5</v>
      </c>
      <c r="B14" s="20" t="n">
        <f aca="false">C15-C12</f>
        <v>0</v>
      </c>
      <c r="C14" s="21" t="n">
        <f aca="false">MIN(F12,F18,F24)-C12</f>
        <v>0</v>
      </c>
      <c r="F14" s="19" t="n">
        <f aca="false">VLOOKUP(F13,$A$2:$H$10,8)</f>
        <v>12</v>
      </c>
      <c r="G14" s="20" t="n">
        <f aca="false">H15-H12</f>
        <v>9</v>
      </c>
      <c r="H14" s="21" t="n">
        <f aca="false">K12-H12</f>
        <v>0</v>
      </c>
      <c r="K14" s="19" t="n">
        <f aca="false">VLOOKUP(K13,$A$2:$H$10,8)</f>
        <v>14</v>
      </c>
      <c r="L14" s="20" t="n">
        <f aca="false">M15-M12</f>
        <v>9</v>
      </c>
      <c r="M14" s="21" t="n">
        <f aca="false">U12-M12</f>
        <v>9</v>
      </c>
      <c r="U14" s="19" t="n">
        <f aca="false">VLOOKUP(U13,$A$2:$H$10,8)</f>
        <v>2</v>
      </c>
      <c r="V14" s="20" t="n">
        <f aca="false">W15-W12</f>
        <v>0</v>
      </c>
      <c r="W14" s="21" t="n">
        <v>0</v>
      </c>
    </row>
    <row r="15" customFormat="false" ht="12.75" hidden="false" customHeight="false" outlineLevel="0" collapsed="false">
      <c r="A15" s="22" t="n">
        <f aca="false">C15-A14</f>
        <v>0</v>
      </c>
      <c r="B15" s="14"/>
      <c r="C15" s="23" t="n">
        <f aca="false">MIN(F15,F21,F27)</f>
        <v>5</v>
      </c>
      <c r="D15" s="24"/>
      <c r="F15" s="22" t="n">
        <f aca="false">H15-F14</f>
        <v>14</v>
      </c>
      <c r="G15" s="14"/>
      <c r="H15" s="23" t="n">
        <f aca="false">K15</f>
        <v>26</v>
      </c>
      <c r="K15" s="22" t="n">
        <f aca="false">M15-K14</f>
        <v>26</v>
      </c>
      <c r="L15" s="14"/>
      <c r="M15" s="23" t="n">
        <f aca="false">U12</f>
        <v>40</v>
      </c>
      <c r="S15" s="25"/>
      <c r="T15" s="26"/>
      <c r="U15" s="22" t="n">
        <f aca="false">W15-U14</f>
        <v>40</v>
      </c>
      <c r="V15" s="14"/>
      <c r="W15" s="23" t="n">
        <f aca="false">W12</f>
        <v>42</v>
      </c>
    </row>
    <row r="16" customFormat="false" ht="12.75" hidden="false" customHeight="false" outlineLevel="0" collapsed="false">
      <c r="C16" s="25"/>
      <c r="D16" s="25"/>
      <c r="S16" s="25"/>
    </row>
    <row r="17" customFormat="false" ht="12.75" hidden="false" customHeight="false" outlineLevel="0" collapsed="false">
      <c r="C17" s="25"/>
      <c r="D17" s="25"/>
      <c r="S17" s="25"/>
    </row>
    <row r="18" customFormat="false" ht="12.75" hidden="false" customHeight="false" outlineLevel="0" collapsed="false">
      <c r="C18" s="25"/>
      <c r="D18" s="25"/>
      <c r="F18" s="13" t="n">
        <f aca="false">$C$12</f>
        <v>5</v>
      </c>
      <c r="G18" s="14"/>
      <c r="H18" s="15" t="n">
        <f aca="false">F18+F20</f>
        <v>15</v>
      </c>
      <c r="K18" s="13" t="n">
        <f aca="false">H18</f>
        <v>15</v>
      </c>
      <c r="L18" s="14"/>
      <c r="M18" s="15" t="n">
        <f aca="false">K18+K20</f>
        <v>24</v>
      </c>
      <c r="P18" s="13" t="n">
        <f aca="false">MAX(M18,M24)</f>
        <v>30</v>
      </c>
      <c r="Q18" s="14"/>
      <c r="R18" s="15" t="n">
        <f aca="false">P18+P20</f>
        <v>40</v>
      </c>
      <c r="S18" s="25"/>
    </row>
    <row r="19" customFormat="false" ht="12.75" hidden="false" customHeight="false" outlineLevel="0" collapsed="false">
      <c r="C19" s="25"/>
      <c r="D19" s="25"/>
      <c r="E19" s="17"/>
      <c r="F19" s="16" t="s">
        <v>5</v>
      </c>
      <c r="G19" s="16"/>
      <c r="H19" s="16"/>
      <c r="I19" s="17"/>
      <c r="J19" s="17"/>
      <c r="K19" s="16" t="s">
        <v>6</v>
      </c>
      <c r="L19" s="16"/>
      <c r="M19" s="16"/>
      <c r="N19" s="17"/>
      <c r="O19" s="17"/>
      <c r="P19" s="16" t="s">
        <v>9</v>
      </c>
      <c r="Q19" s="16"/>
      <c r="R19" s="16"/>
      <c r="S19" s="27"/>
    </row>
    <row r="20" customFormat="false" ht="12.75" hidden="false" customHeight="false" outlineLevel="0" collapsed="false">
      <c r="C20" s="25"/>
      <c r="F20" s="19" t="n">
        <f aca="false">VLOOKUP(F19,$A$2:$H$10,8)</f>
        <v>10</v>
      </c>
      <c r="G20" s="20" t="n">
        <f aca="false">H21-H18</f>
        <v>6</v>
      </c>
      <c r="H20" s="21" t="n">
        <f aca="false">K18-H18</f>
        <v>0</v>
      </c>
      <c r="K20" s="19" t="n">
        <f aca="false">VLOOKUP(K19,$A$2:$H$10,8)</f>
        <v>9</v>
      </c>
      <c r="L20" s="20" t="n">
        <f aca="false">M21-M18</f>
        <v>6</v>
      </c>
      <c r="M20" s="21" t="n">
        <f aca="false">P18-M18</f>
        <v>6</v>
      </c>
      <c r="P20" s="19" t="n">
        <f aca="false">VLOOKUP(P19,$A$2:$H$10,8)</f>
        <v>10</v>
      </c>
      <c r="Q20" s="20" t="n">
        <f aca="false">R21-R18</f>
        <v>0</v>
      </c>
      <c r="R20" s="21" t="n">
        <f aca="false">U12-R18</f>
        <v>0</v>
      </c>
    </row>
    <row r="21" customFormat="false" ht="12.75" hidden="false" customHeight="false" outlineLevel="0" collapsed="false">
      <c r="C21" s="25"/>
      <c r="F21" s="22" t="n">
        <f aca="false">H21-F20</f>
        <v>11</v>
      </c>
      <c r="G21" s="14"/>
      <c r="H21" s="23" t="n">
        <f aca="false">K21</f>
        <v>21</v>
      </c>
      <c r="K21" s="22" t="n">
        <f aca="false">M21-K20</f>
        <v>21</v>
      </c>
      <c r="L21" s="14"/>
      <c r="M21" s="23" t="n">
        <f aca="false">P21</f>
        <v>30</v>
      </c>
      <c r="O21" s="49"/>
      <c r="P21" s="22" t="n">
        <f aca="false">R21-P20</f>
        <v>30</v>
      </c>
      <c r="Q21" s="14"/>
      <c r="R21" s="23" t="n">
        <f aca="false">U15</f>
        <v>40</v>
      </c>
    </row>
    <row r="22" customFormat="false" ht="12.75" hidden="false" customHeight="false" outlineLevel="0" collapsed="false">
      <c r="C22" s="25"/>
      <c r="O22" s="50"/>
    </row>
    <row r="23" customFormat="false" ht="12.75" hidden="false" customHeight="false" outlineLevel="0" collapsed="false">
      <c r="C23" s="25"/>
      <c r="O23" s="50"/>
    </row>
    <row r="24" customFormat="false" ht="12.75" hidden="false" customHeight="false" outlineLevel="0" collapsed="false">
      <c r="C24" s="25"/>
      <c r="F24" s="13" t="n">
        <f aca="false">$C$12</f>
        <v>5</v>
      </c>
      <c r="G24" s="14"/>
      <c r="H24" s="15" t="n">
        <f aca="false">F24+F26</f>
        <v>11</v>
      </c>
      <c r="K24" s="13" t="n">
        <f aca="false">H24</f>
        <v>11</v>
      </c>
      <c r="L24" s="14"/>
      <c r="M24" s="15" t="n">
        <f aca="false">K24+K26</f>
        <v>30</v>
      </c>
      <c r="O24" s="50"/>
    </row>
    <row r="25" customFormat="false" ht="12.75" hidden="false" customHeight="false" outlineLevel="0" collapsed="false">
      <c r="C25" s="25"/>
      <c r="D25" s="17"/>
      <c r="E25" s="17"/>
      <c r="F25" s="16" t="s">
        <v>2</v>
      </c>
      <c r="G25" s="16"/>
      <c r="H25" s="16"/>
      <c r="I25" s="17"/>
      <c r="J25" s="17"/>
      <c r="K25" s="16" t="s">
        <v>7</v>
      </c>
      <c r="L25" s="16"/>
      <c r="M25" s="16"/>
      <c r="N25" s="17"/>
      <c r="O25" s="50"/>
    </row>
    <row r="26" customFormat="false" ht="12.75" hidden="false" customHeight="false" outlineLevel="0" collapsed="false">
      <c r="F26" s="19" t="n">
        <f aca="false">VLOOKUP(F25,$A$2:$H$10,8)</f>
        <v>6</v>
      </c>
      <c r="G26" s="20" t="n">
        <f aca="false">H27-H24</f>
        <v>0</v>
      </c>
      <c r="H26" s="21" t="n">
        <f aca="false">K24-H24</f>
        <v>0</v>
      </c>
      <c r="K26" s="19" t="n">
        <f aca="false">VLOOKUP(K25,$A$2:$H$10,8)</f>
        <v>19</v>
      </c>
      <c r="L26" s="20" t="n">
        <f aca="false">M27-M24</f>
        <v>0</v>
      </c>
      <c r="M26" s="21" t="n">
        <f aca="false">P18-M24</f>
        <v>0</v>
      </c>
    </row>
    <row r="27" customFormat="false" ht="12.75" hidden="false" customHeight="false" outlineLevel="0" collapsed="false">
      <c r="F27" s="22" t="n">
        <f aca="false">H27-F26</f>
        <v>5</v>
      </c>
      <c r="G27" s="14"/>
      <c r="H27" s="23" t="n">
        <f aca="false">K27</f>
        <v>11</v>
      </c>
      <c r="K27" s="22" t="n">
        <f aca="false">M27-K26</f>
        <v>11</v>
      </c>
      <c r="L27" s="14"/>
      <c r="M27" s="23" t="n">
        <f aca="false">P21</f>
        <v>30</v>
      </c>
    </row>
    <row r="28" customFormat="false" ht="12.75" hidden="false" customHeight="false" outlineLevel="0" collapsed="false"/>
    <row r="29" customFormat="false" ht="12.75" hidden="false" customHeight="false" outlineLevel="0" collapsed="false"/>
    <row r="30" customFormat="false" ht="12.75" hidden="false" customHeight="false" outlineLevel="0" collapsed="false"/>
    <row r="31" customFormat="false" ht="12.75" hidden="false" customHeight="false" outlineLevel="0" collapsed="false"/>
    <row r="1048576" customFormat="false" ht="12.8" hidden="false" customHeight="false" outlineLevel="0" collapsed="false"/>
  </sheetData>
  <mergeCells count="10">
    <mergeCell ref="B1:D1"/>
    <mergeCell ref="A13:C13"/>
    <mergeCell ref="F13:H13"/>
    <mergeCell ref="K13:M13"/>
    <mergeCell ref="U13:W13"/>
    <mergeCell ref="F19:H19"/>
    <mergeCell ref="K19:M19"/>
    <mergeCell ref="P19:R19"/>
    <mergeCell ref="F25:H25"/>
    <mergeCell ref="K25:M25"/>
  </mergeCells>
  <conditionalFormatting sqref="V14 Q20 L14 L20 L26 G26 G20 G14 B14">
    <cfRule type="cellIs" priority="2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W16" activeCellId="1" sqref="AH5:AH6 W1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9" min="1" style="3" width="3.86"/>
    <col collapsed="false" customWidth="true" hidden="false" outlineLevel="0" max="10" min="10" style="1" width="3.86"/>
    <col collapsed="false" customWidth="true" hidden="false" outlineLevel="0" max="11" min="11" style="3" width="3.86"/>
    <col collapsed="false" customWidth="true" hidden="false" outlineLevel="0" max="12" min="12" style="3" width="4.47"/>
    <col collapsed="false" customWidth="true" hidden="false" outlineLevel="0" max="64" min="13" style="3" width="3.86"/>
  </cols>
  <sheetData>
    <row r="1" customFormat="false" ht="38.8" hidden="false" customHeight="false" outlineLevel="0" collapsed="false">
      <c r="A1" s="2" t="s">
        <v>0</v>
      </c>
      <c r="B1" s="2" t="s">
        <v>41</v>
      </c>
      <c r="C1" s="2"/>
      <c r="D1" s="2"/>
      <c r="E1" s="2" t="s">
        <v>2</v>
      </c>
      <c r="G1" s="51" t="n">
        <v>45775</v>
      </c>
      <c r="H1" s="51" t="n">
        <v>45776</v>
      </c>
      <c r="I1" s="51" t="n">
        <v>45777</v>
      </c>
      <c r="J1" s="52" t="n">
        <v>45778</v>
      </c>
      <c r="K1" s="51" t="n">
        <v>45779</v>
      </c>
      <c r="L1" s="53" t="n">
        <v>45780</v>
      </c>
      <c r="M1" s="53" t="n">
        <v>45781</v>
      </c>
      <c r="N1" s="51" t="n">
        <v>45782</v>
      </c>
      <c r="O1" s="51" t="n">
        <v>45783</v>
      </c>
      <c r="P1" s="51" t="n">
        <v>45784</v>
      </c>
      <c r="Q1" s="51" t="n">
        <v>45785</v>
      </c>
      <c r="R1" s="51" t="n">
        <v>45786</v>
      </c>
      <c r="S1" s="53" t="n">
        <v>45787</v>
      </c>
      <c r="T1" s="53" t="n">
        <v>45788</v>
      </c>
      <c r="U1" s="51" t="n">
        <v>45789</v>
      </c>
      <c r="V1" s="51" t="n">
        <v>45790</v>
      </c>
      <c r="W1" s="51" t="n">
        <v>45791</v>
      </c>
      <c r="X1" s="51" t="n">
        <v>45792</v>
      </c>
      <c r="Y1" s="51" t="n">
        <v>45793</v>
      </c>
      <c r="Z1" s="53" t="n">
        <v>45794</v>
      </c>
      <c r="AA1" s="53" t="n">
        <v>45795</v>
      </c>
    </row>
    <row r="2" customFormat="false" ht="12.75" hidden="false" customHeight="false" outlineLevel="0" collapsed="false">
      <c r="A2" s="7" t="s">
        <v>3</v>
      </c>
      <c r="B2" s="41"/>
      <c r="C2" s="41"/>
      <c r="D2" s="41"/>
      <c r="E2" s="7" t="n">
        <v>3</v>
      </c>
      <c r="G2" s="54"/>
      <c r="H2" s="54"/>
      <c r="I2" s="54"/>
      <c r="J2" s="52"/>
      <c r="L2" s="53"/>
      <c r="M2" s="53"/>
      <c r="S2" s="53"/>
      <c r="T2" s="53"/>
      <c r="Z2" s="53"/>
      <c r="AA2" s="53"/>
    </row>
    <row r="3" customFormat="false" ht="12.75" hidden="false" customHeight="false" outlineLevel="0" collapsed="false">
      <c r="A3" s="7" t="s">
        <v>4</v>
      </c>
      <c r="B3" s="44" t="s">
        <v>3</v>
      </c>
      <c r="C3" s="44"/>
      <c r="D3" s="44"/>
      <c r="E3" s="7" t="n">
        <v>1</v>
      </c>
      <c r="J3" s="52"/>
      <c r="K3" s="55"/>
      <c r="L3" s="53"/>
      <c r="M3" s="53"/>
      <c r="S3" s="53"/>
      <c r="T3" s="53"/>
      <c r="Z3" s="53"/>
      <c r="AA3" s="53"/>
    </row>
    <row r="4" customFormat="false" ht="12.75" hidden="false" customHeight="false" outlineLevel="0" collapsed="false">
      <c r="A4" s="7" t="s">
        <v>5</v>
      </c>
      <c r="B4" s="44" t="s">
        <v>3</v>
      </c>
      <c r="C4" s="44"/>
      <c r="D4" s="44"/>
      <c r="E4" s="7" t="n">
        <v>1</v>
      </c>
      <c r="J4" s="52"/>
      <c r="K4" s="55"/>
      <c r="L4" s="53"/>
      <c r="M4" s="53"/>
      <c r="S4" s="53"/>
      <c r="T4" s="53"/>
      <c r="Z4" s="53"/>
      <c r="AA4" s="53"/>
    </row>
    <row r="5" customFormat="false" ht="12.75" hidden="false" customHeight="false" outlineLevel="0" collapsed="false">
      <c r="A5" s="7" t="s">
        <v>2</v>
      </c>
      <c r="B5" s="44" t="s">
        <v>3</v>
      </c>
      <c r="C5" s="44"/>
      <c r="D5" s="44"/>
      <c r="E5" s="7" t="n">
        <v>2</v>
      </c>
      <c r="J5" s="52"/>
      <c r="K5" s="54"/>
      <c r="L5" s="53"/>
      <c r="M5" s="53"/>
      <c r="N5" s="54"/>
      <c r="S5" s="53"/>
      <c r="T5" s="53"/>
      <c r="Z5" s="53"/>
      <c r="AA5" s="53"/>
    </row>
    <row r="6" customFormat="false" ht="12.75" hidden="false" customHeight="false" outlineLevel="0" collapsed="false">
      <c r="A6" s="7" t="s">
        <v>6</v>
      </c>
      <c r="B6" s="44" t="s">
        <v>5</v>
      </c>
      <c r="C6" s="44"/>
      <c r="D6" s="44"/>
      <c r="E6" s="7" t="n">
        <v>1</v>
      </c>
      <c r="J6" s="52"/>
      <c r="L6" s="53"/>
      <c r="M6" s="53"/>
      <c r="N6" s="55"/>
      <c r="S6" s="53"/>
      <c r="T6" s="53"/>
      <c r="Z6" s="53"/>
      <c r="AA6" s="53"/>
    </row>
    <row r="7" customFormat="false" ht="12.75" hidden="false" customHeight="false" outlineLevel="0" collapsed="false">
      <c r="A7" s="7" t="s">
        <v>7</v>
      </c>
      <c r="B7" s="44" t="s">
        <v>2</v>
      </c>
      <c r="C7" s="44"/>
      <c r="D7" s="44"/>
      <c r="E7" s="7" t="n">
        <v>2</v>
      </c>
      <c r="J7" s="52"/>
      <c r="L7" s="53"/>
      <c r="M7" s="53"/>
      <c r="O7" s="54"/>
      <c r="P7" s="54"/>
      <c r="S7" s="53"/>
      <c r="T7" s="53"/>
      <c r="Z7" s="53"/>
      <c r="AA7" s="53"/>
    </row>
    <row r="8" customFormat="false" ht="12.75" hidden="false" customHeight="false" outlineLevel="0" collapsed="false">
      <c r="A8" s="7" t="s">
        <v>8</v>
      </c>
      <c r="B8" s="44" t="s">
        <v>4</v>
      </c>
      <c r="C8" s="44" t="s">
        <v>12</v>
      </c>
      <c r="D8" s="44"/>
      <c r="E8" s="7" t="n">
        <v>1</v>
      </c>
      <c r="J8" s="52"/>
      <c r="L8" s="53"/>
      <c r="M8" s="53"/>
      <c r="N8" s="55"/>
      <c r="S8" s="53"/>
      <c r="T8" s="53"/>
      <c r="Z8" s="53"/>
      <c r="AA8" s="53"/>
    </row>
    <row r="9" customFormat="false" ht="12.75" hidden="false" customHeight="false" outlineLevel="0" collapsed="false">
      <c r="A9" s="7" t="s">
        <v>9</v>
      </c>
      <c r="B9" s="44" t="s">
        <v>6</v>
      </c>
      <c r="C9" s="44" t="s">
        <v>7</v>
      </c>
      <c r="D9" s="44"/>
      <c r="E9" s="7" t="n">
        <v>1</v>
      </c>
      <c r="J9" s="52"/>
      <c r="L9" s="53"/>
      <c r="M9" s="53"/>
      <c r="Q9" s="54"/>
      <c r="S9" s="53"/>
      <c r="T9" s="53"/>
      <c r="Z9" s="53"/>
      <c r="AA9" s="53"/>
    </row>
    <row r="10" customFormat="false" ht="12.75" hidden="false" customHeight="false" outlineLevel="0" collapsed="false">
      <c r="A10" s="7" t="s">
        <v>10</v>
      </c>
      <c r="B10" s="44" t="s">
        <v>8</v>
      </c>
      <c r="C10" s="44"/>
      <c r="D10" s="44"/>
      <c r="E10" s="7" t="n">
        <v>1</v>
      </c>
      <c r="J10" s="52"/>
      <c r="L10" s="53"/>
      <c r="M10" s="53"/>
      <c r="O10" s="55"/>
      <c r="S10" s="53"/>
      <c r="T10" s="53"/>
      <c r="Z10" s="53"/>
      <c r="AA10" s="53"/>
    </row>
    <row r="11" customFormat="false" ht="12.75" hidden="false" customHeight="false" outlineLevel="0" collapsed="false">
      <c r="A11" s="7" t="s">
        <v>11</v>
      </c>
      <c r="B11" s="44" t="s">
        <v>9</v>
      </c>
      <c r="C11" s="44"/>
      <c r="D11" s="44"/>
      <c r="E11" s="7" t="n">
        <v>1</v>
      </c>
      <c r="J11" s="52"/>
      <c r="L11" s="53"/>
      <c r="M11" s="53"/>
      <c r="R11" s="54"/>
      <c r="S11" s="53"/>
      <c r="T11" s="53"/>
      <c r="Z11" s="53"/>
      <c r="AA11" s="53"/>
    </row>
    <row r="12" customFormat="false" ht="12.75" hidden="false" customHeight="false" outlineLevel="0" collapsed="false">
      <c r="A12" s="7" t="s">
        <v>13</v>
      </c>
      <c r="B12" s="44" t="s">
        <v>10</v>
      </c>
      <c r="C12" s="44" t="s">
        <v>11</v>
      </c>
      <c r="D12" s="44"/>
      <c r="E12" s="7" t="n">
        <v>3</v>
      </c>
      <c r="J12" s="52"/>
      <c r="L12" s="53"/>
      <c r="M12" s="53"/>
      <c r="S12" s="53"/>
      <c r="T12" s="53"/>
      <c r="U12" s="54"/>
      <c r="V12" s="54"/>
      <c r="W12" s="54"/>
      <c r="Z12" s="53"/>
      <c r="AA12" s="53"/>
    </row>
    <row r="13" customFormat="false" ht="12.75" hidden="false" customHeight="false" outlineLevel="0" collapsed="false"/>
    <row r="14" customFormat="false" ht="12.75" hidden="false" customHeight="false" outlineLevel="0" collapsed="false">
      <c r="A14" s="13" t="n">
        <v>0</v>
      </c>
      <c r="B14" s="14"/>
      <c r="C14" s="15" t="n">
        <v>3</v>
      </c>
      <c r="F14" s="13" t="n">
        <v>3</v>
      </c>
      <c r="G14" s="14"/>
      <c r="H14" s="15" t="n">
        <v>4</v>
      </c>
      <c r="J14" s="3"/>
      <c r="K14" s="13" t="n">
        <v>4</v>
      </c>
      <c r="L14" s="14"/>
      <c r="M14" s="15" t="n">
        <v>5</v>
      </c>
      <c r="P14" s="13" t="n">
        <v>5</v>
      </c>
      <c r="Q14" s="14"/>
      <c r="R14" s="15" t="n">
        <v>6</v>
      </c>
      <c r="Z14" s="13" t="n">
        <v>9</v>
      </c>
      <c r="AA14" s="14"/>
      <c r="AB14" s="15" t="n">
        <v>12</v>
      </c>
    </row>
    <row r="15" customFormat="false" ht="12.75" hidden="false" customHeight="false" outlineLevel="0" collapsed="false">
      <c r="A15" s="16" t="s">
        <v>3</v>
      </c>
      <c r="B15" s="16"/>
      <c r="C15" s="16"/>
      <c r="D15" s="17"/>
      <c r="E15" s="17"/>
      <c r="F15" s="16" t="s">
        <v>4</v>
      </c>
      <c r="G15" s="16"/>
      <c r="H15" s="16"/>
      <c r="I15" s="17"/>
      <c r="J15" s="17"/>
      <c r="K15" s="16" t="s">
        <v>8</v>
      </c>
      <c r="L15" s="16"/>
      <c r="M15" s="16"/>
      <c r="N15" s="17"/>
      <c r="O15" s="17"/>
      <c r="P15" s="16" t="s">
        <v>10</v>
      </c>
      <c r="Q15" s="16"/>
      <c r="R15" s="16"/>
      <c r="S15" s="17"/>
      <c r="T15" s="17"/>
      <c r="U15" s="17"/>
      <c r="V15" s="17"/>
      <c r="W15" s="17"/>
      <c r="X15" s="17"/>
      <c r="Y15" s="17"/>
      <c r="Z15" s="16" t="s">
        <v>10</v>
      </c>
      <c r="AA15" s="16"/>
      <c r="AB15" s="16"/>
    </row>
    <row r="16" customFormat="false" ht="12.75" hidden="false" customHeight="false" outlineLevel="0" collapsed="false">
      <c r="A16" s="19" t="n">
        <v>3</v>
      </c>
      <c r="B16" s="20"/>
      <c r="C16" s="21"/>
      <c r="F16" s="19" t="n">
        <v>1</v>
      </c>
      <c r="G16" s="20"/>
      <c r="H16" s="21"/>
      <c r="J16" s="3"/>
      <c r="K16" s="19" t="n">
        <v>1</v>
      </c>
      <c r="L16" s="20"/>
      <c r="M16" s="21"/>
      <c r="P16" s="19" t="n">
        <v>1</v>
      </c>
      <c r="Q16" s="20"/>
      <c r="R16" s="21"/>
      <c r="Z16" s="19" t="n">
        <v>3</v>
      </c>
      <c r="AA16" s="20" t="n">
        <v>0</v>
      </c>
      <c r="AB16" s="21" t="n">
        <v>0</v>
      </c>
    </row>
    <row r="17" customFormat="false" ht="12.75" hidden="false" customHeight="false" outlineLevel="0" collapsed="false">
      <c r="A17" s="22"/>
      <c r="B17" s="14"/>
      <c r="C17" s="23"/>
      <c r="D17" s="24"/>
      <c r="F17" s="22"/>
      <c r="G17" s="14"/>
      <c r="H17" s="23"/>
      <c r="J17" s="3"/>
      <c r="K17" s="22"/>
      <c r="L17" s="14"/>
      <c r="M17" s="23"/>
      <c r="P17" s="22"/>
      <c r="Q17" s="14"/>
      <c r="R17" s="23" t="n">
        <v>9</v>
      </c>
      <c r="X17" s="25"/>
      <c r="Y17" s="26"/>
      <c r="Z17" s="22" t="n">
        <v>9</v>
      </c>
      <c r="AA17" s="14"/>
      <c r="AB17" s="23" t="n">
        <v>12</v>
      </c>
    </row>
    <row r="18" customFormat="false" ht="12.75" hidden="false" customHeight="false" outlineLevel="0" collapsed="false">
      <c r="C18" s="25"/>
      <c r="D18" s="25"/>
      <c r="J18" s="3"/>
      <c r="X18" s="25"/>
    </row>
    <row r="19" customFormat="false" ht="12.75" hidden="false" customHeight="false" outlineLevel="0" collapsed="false">
      <c r="C19" s="25"/>
      <c r="D19" s="25"/>
      <c r="J19" s="3"/>
      <c r="X19" s="25"/>
    </row>
    <row r="20" customFormat="false" ht="12.75" hidden="false" customHeight="false" outlineLevel="0" collapsed="false">
      <c r="C20" s="25"/>
      <c r="D20" s="25"/>
      <c r="F20" s="13" t="n">
        <v>3</v>
      </c>
      <c r="G20" s="14"/>
      <c r="H20" s="15" t="n">
        <v>4</v>
      </c>
      <c r="J20" s="3"/>
      <c r="K20" s="13" t="n">
        <v>4</v>
      </c>
      <c r="L20" s="14"/>
      <c r="M20" s="15" t="n">
        <v>5</v>
      </c>
      <c r="P20" s="13" t="n">
        <v>7</v>
      </c>
      <c r="Q20" s="14"/>
      <c r="R20" s="15" t="n">
        <v>8</v>
      </c>
      <c r="U20" s="13" t="n">
        <v>8</v>
      </c>
      <c r="V20" s="14"/>
      <c r="W20" s="15" t="n">
        <v>9</v>
      </c>
      <c r="X20" s="25"/>
    </row>
    <row r="21" customFormat="false" ht="12.75" hidden="false" customHeight="false" outlineLevel="0" collapsed="false">
      <c r="C21" s="25"/>
      <c r="D21" s="25"/>
      <c r="E21" s="17"/>
      <c r="F21" s="16" t="s">
        <v>5</v>
      </c>
      <c r="G21" s="16"/>
      <c r="H21" s="16"/>
      <c r="I21" s="17"/>
      <c r="J21" s="17"/>
      <c r="K21" s="16" t="s">
        <v>6</v>
      </c>
      <c r="L21" s="16"/>
      <c r="M21" s="16"/>
      <c r="N21" s="17"/>
      <c r="O21" s="17"/>
      <c r="P21" s="16" t="s">
        <v>9</v>
      </c>
      <c r="Q21" s="16"/>
      <c r="R21" s="16"/>
      <c r="S21" s="17"/>
      <c r="T21" s="17"/>
      <c r="U21" s="16" t="s">
        <v>11</v>
      </c>
      <c r="V21" s="16"/>
      <c r="W21" s="16"/>
      <c r="X21" s="27"/>
    </row>
    <row r="22" customFormat="false" ht="12.75" hidden="false" customHeight="false" outlineLevel="0" collapsed="false">
      <c r="C22" s="25"/>
      <c r="F22" s="19" t="n">
        <v>1</v>
      </c>
      <c r="G22" s="20" t="n">
        <v>2</v>
      </c>
      <c r="H22" s="21" t="n">
        <v>0</v>
      </c>
      <c r="J22" s="3"/>
      <c r="K22" s="19" t="n">
        <v>1</v>
      </c>
      <c r="L22" s="20" t="n">
        <v>2</v>
      </c>
      <c r="M22" s="21" t="n">
        <v>2</v>
      </c>
      <c r="O22" s="17"/>
      <c r="P22" s="19" t="n">
        <v>1</v>
      </c>
      <c r="Q22" s="20" t="n">
        <v>0</v>
      </c>
      <c r="R22" s="21" t="n">
        <v>0</v>
      </c>
      <c r="U22" s="19" t="n">
        <v>1</v>
      </c>
      <c r="V22" s="20" t="n">
        <v>0</v>
      </c>
      <c r="W22" s="21" t="n">
        <v>0</v>
      </c>
    </row>
    <row r="23" customFormat="false" ht="12.75" hidden="false" customHeight="false" outlineLevel="0" collapsed="false">
      <c r="C23" s="25"/>
      <c r="F23" s="22" t="n">
        <v>3</v>
      </c>
      <c r="G23" s="14"/>
      <c r="H23" s="23" t="n">
        <v>6</v>
      </c>
      <c r="J23" s="3"/>
      <c r="K23" s="22" t="n">
        <v>6</v>
      </c>
      <c r="L23" s="14"/>
      <c r="M23" s="23" t="n">
        <v>7</v>
      </c>
      <c r="N23" s="25"/>
      <c r="P23" s="22" t="n">
        <v>7</v>
      </c>
      <c r="Q23" s="14"/>
      <c r="R23" s="23" t="n">
        <v>8</v>
      </c>
      <c r="U23" s="22" t="n">
        <v>8</v>
      </c>
      <c r="V23" s="14"/>
      <c r="W23" s="23" t="n">
        <v>9</v>
      </c>
    </row>
    <row r="24" customFormat="false" ht="12.75" hidden="false" customHeight="false" outlineLevel="0" collapsed="false">
      <c r="C24" s="25"/>
      <c r="J24" s="3"/>
      <c r="N24" s="25"/>
    </row>
    <row r="25" customFormat="false" ht="12.75" hidden="false" customHeight="false" outlineLevel="0" collapsed="false">
      <c r="C25" s="25"/>
      <c r="J25" s="3"/>
      <c r="N25" s="25"/>
    </row>
    <row r="26" customFormat="false" ht="12.75" hidden="false" customHeight="false" outlineLevel="0" collapsed="false">
      <c r="C26" s="25"/>
      <c r="F26" s="13" t="n">
        <v>3</v>
      </c>
      <c r="G26" s="14"/>
      <c r="H26" s="15" t="n">
        <v>5</v>
      </c>
      <c r="J26" s="3"/>
      <c r="K26" s="13" t="n">
        <v>5</v>
      </c>
      <c r="L26" s="14"/>
      <c r="M26" s="15" t="n">
        <v>7</v>
      </c>
      <c r="N26" s="25"/>
    </row>
    <row r="27" customFormat="false" ht="12.75" hidden="false" customHeight="false" outlineLevel="0" collapsed="false">
      <c r="C27" s="25"/>
      <c r="D27" s="17"/>
      <c r="E27" s="17"/>
      <c r="F27" s="16" t="s">
        <v>2</v>
      </c>
      <c r="G27" s="16"/>
      <c r="H27" s="16"/>
      <c r="I27" s="17"/>
      <c r="J27" s="17"/>
      <c r="K27" s="16" t="s">
        <v>7</v>
      </c>
      <c r="L27" s="16"/>
      <c r="M27" s="16"/>
      <c r="N27" s="27"/>
    </row>
    <row r="28" customFormat="false" ht="12.75" hidden="false" customHeight="false" outlineLevel="0" collapsed="false">
      <c r="F28" s="19" t="n">
        <v>2</v>
      </c>
      <c r="G28" s="20" t="n">
        <v>0</v>
      </c>
      <c r="H28" s="21" t="n">
        <v>0</v>
      </c>
      <c r="J28" s="3"/>
      <c r="K28" s="19" t="n">
        <v>2</v>
      </c>
      <c r="L28" s="20" t="n">
        <v>0</v>
      </c>
      <c r="M28" s="21" t="n">
        <v>0</v>
      </c>
    </row>
    <row r="29" customFormat="false" ht="12.75" hidden="false" customHeight="false" outlineLevel="0" collapsed="false">
      <c r="F29" s="22" t="n">
        <v>3</v>
      </c>
      <c r="G29" s="14"/>
      <c r="H29" s="23" t="n">
        <v>5</v>
      </c>
      <c r="J29" s="3"/>
      <c r="K29" s="22" t="n">
        <v>5</v>
      </c>
      <c r="L29" s="14"/>
      <c r="M29" s="23" t="n">
        <v>7</v>
      </c>
    </row>
    <row r="30" customFormat="false" ht="12.75" hidden="false" customHeight="false" outlineLevel="0" collapsed="false">
      <c r="J30" s="3"/>
    </row>
    <row r="31" customFormat="false" ht="12.75" hidden="false" customHeight="false" outlineLevel="0" collapsed="false">
      <c r="J31" s="3"/>
    </row>
    <row r="32" customFormat="false" ht="12.75" hidden="false" customHeight="false" outlineLevel="0" collapsed="false">
      <c r="J32" s="3"/>
    </row>
  </sheetData>
  <mergeCells count="12">
    <mergeCell ref="B1:D1"/>
    <mergeCell ref="A15:C15"/>
    <mergeCell ref="F15:H15"/>
    <mergeCell ref="K15:M15"/>
    <mergeCell ref="P15:R15"/>
    <mergeCell ref="Z15:AB15"/>
    <mergeCell ref="F21:H21"/>
    <mergeCell ref="K21:M21"/>
    <mergeCell ref="P21:R21"/>
    <mergeCell ref="U21:W21"/>
    <mergeCell ref="F27:H27"/>
    <mergeCell ref="K27:M27"/>
  </mergeCells>
  <conditionalFormatting sqref="B16 G16 G22 G28">
    <cfRule type="cellIs" priority="2" operator="equal" aboveAverage="0" equalAverage="0" bottom="0" percent="0" rank="0" text="" dxfId="2">
      <formula>0</formula>
    </cfRule>
  </conditionalFormatting>
  <conditionalFormatting sqref="L16 L22 L28 Q16 Q22 AB16 V22">
    <cfRule type="cellIs" priority="3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AH5:AH6 A1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56" width="8.84"/>
    <col collapsed="false" customWidth="true" hidden="false" outlineLevel="0" max="2" min="2" style="3" width="23.71"/>
    <col collapsed="false" customWidth="true" hidden="false" outlineLevel="0" max="3" min="3" style="3" width="23.96"/>
    <col collapsed="false" customWidth="true" hidden="false" outlineLevel="0" max="4" min="4" style="3" width="11.53"/>
    <col collapsed="false" customWidth="true" hidden="false" outlineLevel="0" max="5" min="5" style="3" width="32.84"/>
  </cols>
  <sheetData>
    <row r="1" customFormat="false" ht="12.75" hidden="false" customHeight="false" outlineLevel="0" collapsed="false">
      <c r="A1" s="56" t="s">
        <v>46</v>
      </c>
      <c r="B1" s="57" t="s">
        <v>47</v>
      </c>
    </row>
    <row r="2" customFormat="false" ht="12.75" hidden="false" customHeight="false" outlineLevel="0" collapsed="false">
      <c r="A2" s="58" t="n">
        <v>45297</v>
      </c>
      <c r="B2" s="56" t="s">
        <v>48</v>
      </c>
      <c r="C2" s="57" t="s">
        <v>49</v>
      </c>
      <c r="E2" s="57" t="s">
        <v>50</v>
      </c>
      <c r="F2" s="59" t="n">
        <v>45413</v>
      </c>
      <c r="G2" s="59" t="n">
        <v>45414</v>
      </c>
    </row>
    <row r="3" customFormat="false" ht="12.75" hidden="false" customHeight="false" outlineLevel="0" collapsed="false">
      <c r="A3" s="58" t="n">
        <v>45359</v>
      </c>
      <c r="B3" s="56" t="s">
        <v>51</v>
      </c>
      <c r="C3" s="57" t="s">
        <v>52</v>
      </c>
      <c r="D3" s="57" t="s">
        <v>53</v>
      </c>
      <c r="E3" s="57" t="s">
        <v>54</v>
      </c>
    </row>
    <row r="4" customFormat="false" ht="12.75" hidden="false" customHeight="false" outlineLevel="0" collapsed="false">
      <c r="A4" s="58" t="n">
        <v>45380</v>
      </c>
      <c r="B4" s="56" t="s">
        <v>55</v>
      </c>
      <c r="C4" s="57" t="s">
        <v>56</v>
      </c>
      <c r="D4" s="57" t="s">
        <v>53</v>
      </c>
      <c r="E4" s="57" t="s">
        <v>57</v>
      </c>
    </row>
    <row r="5" customFormat="false" ht="12.75" hidden="false" customHeight="false" outlineLevel="0" collapsed="false">
      <c r="A5" s="58" t="n">
        <v>45383</v>
      </c>
      <c r="B5" s="56" t="s">
        <v>58</v>
      </c>
      <c r="C5" s="57" t="s">
        <v>59</v>
      </c>
      <c r="D5" s="57" t="s">
        <v>53</v>
      </c>
      <c r="E5" s="57" t="s">
        <v>57</v>
      </c>
    </row>
    <row r="6" customFormat="false" ht="12.75" hidden="false" customHeight="false" outlineLevel="0" collapsed="false">
      <c r="A6" s="58" t="n">
        <v>45413</v>
      </c>
      <c r="B6" s="56" t="s">
        <v>60</v>
      </c>
      <c r="C6" s="57" t="s">
        <v>61</v>
      </c>
      <c r="E6" s="57" t="s">
        <v>57</v>
      </c>
    </row>
    <row r="7" customFormat="false" ht="12.75" hidden="false" customHeight="false" outlineLevel="0" collapsed="false">
      <c r="A7" s="58" t="n">
        <v>45421</v>
      </c>
      <c r="B7" s="56" t="s">
        <v>62</v>
      </c>
      <c r="C7" s="57" t="s">
        <v>63</v>
      </c>
      <c r="D7" s="57" t="s">
        <v>64</v>
      </c>
      <c r="E7" s="57" t="s">
        <v>57</v>
      </c>
    </row>
    <row r="8" customFormat="false" ht="12.75" hidden="false" customHeight="false" outlineLevel="0" collapsed="false">
      <c r="A8" s="58" t="n">
        <v>45432</v>
      </c>
      <c r="B8" s="56" t="s">
        <v>65</v>
      </c>
      <c r="C8" s="57" t="s">
        <v>66</v>
      </c>
      <c r="D8" s="57" t="s">
        <v>53</v>
      </c>
      <c r="E8" s="57" t="s">
        <v>57</v>
      </c>
    </row>
    <row r="9" customFormat="false" ht="12.75" hidden="false" customHeight="false" outlineLevel="0" collapsed="false">
      <c r="A9" s="58" t="n">
        <v>45442</v>
      </c>
      <c r="B9" s="56" t="s">
        <v>67</v>
      </c>
      <c r="C9" s="57" t="s">
        <v>68</v>
      </c>
      <c r="D9" s="57" t="s">
        <v>64</v>
      </c>
      <c r="E9" s="57" t="s">
        <v>69</v>
      </c>
    </row>
    <row r="10" customFormat="false" ht="12.75" hidden="false" customHeight="false" outlineLevel="0" collapsed="false">
      <c r="A10" s="58" t="n">
        <v>45519</v>
      </c>
      <c r="B10" s="56" t="s">
        <v>70</v>
      </c>
      <c r="C10" s="57" t="s">
        <v>71</v>
      </c>
      <c r="D10" s="57" t="s">
        <v>64</v>
      </c>
      <c r="E10" s="57" t="s">
        <v>72</v>
      </c>
    </row>
    <row r="11" customFormat="false" ht="12.75" hidden="false" customHeight="false" outlineLevel="0" collapsed="false">
      <c r="A11" s="58" t="n">
        <v>45555</v>
      </c>
      <c r="B11" s="56" t="s">
        <v>73</v>
      </c>
      <c r="C11" s="57" t="s">
        <v>74</v>
      </c>
      <c r="D11" s="57" t="s">
        <v>53</v>
      </c>
      <c r="E11" s="57" t="s">
        <v>75</v>
      </c>
    </row>
    <row r="12" customFormat="false" ht="12.75" hidden="false" customHeight="false" outlineLevel="0" collapsed="false">
      <c r="A12" s="58" t="n">
        <v>45568</v>
      </c>
      <c r="B12" s="56" t="s">
        <v>76</v>
      </c>
      <c r="C12" s="57" t="s">
        <v>77</v>
      </c>
      <c r="D12" s="57" t="s">
        <v>64</v>
      </c>
      <c r="E12" s="57" t="s">
        <v>57</v>
      </c>
    </row>
    <row r="13" customFormat="false" ht="12.75" hidden="false" customHeight="false" outlineLevel="0" collapsed="false">
      <c r="A13" s="58" t="n">
        <v>45596</v>
      </c>
      <c r="B13" s="56" t="s">
        <v>78</v>
      </c>
      <c r="C13" s="57" t="s">
        <v>79</v>
      </c>
      <c r="D13" s="57" t="s">
        <v>64</v>
      </c>
      <c r="E13" s="56" t="s">
        <v>80</v>
      </c>
    </row>
    <row r="14" customFormat="false" ht="12.75" hidden="false" customHeight="false" outlineLevel="0" collapsed="false">
      <c r="A14" s="59" t="n">
        <v>45597</v>
      </c>
      <c r="B14" s="56" t="s">
        <v>81</v>
      </c>
      <c r="C14" s="57" t="s">
        <v>79</v>
      </c>
      <c r="D14" s="57" t="s">
        <v>53</v>
      </c>
      <c r="E14" s="57" t="s">
        <v>82</v>
      </c>
    </row>
    <row r="15" customFormat="false" ht="12.75" hidden="false" customHeight="false" outlineLevel="0" collapsed="false">
      <c r="A15" s="59" t="n">
        <v>45616</v>
      </c>
      <c r="B15" s="56" t="s">
        <v>83</v>
      </c>
      <c r="C15" s="57" t="s">
        <v>84</v>
      </c>
      <c r="E15" s="57" t="s">
        <v>85</v>
      </c>
    </row>
    <row r="16" customFormat="false" ht="12.75" hidden="false" customHeight="false" outlineLevel="0" collapsed="false">
      <c r="A16" s="59" t="n">
        <v>45651</v>
      </c>
      <c r="B16" s="56" t="s">
        <v>86</v>
      </c>
      <c r="C16" s="57" t="s">
        <v>87</v>
      </c>
      <c r="D16" s="57" t="s">
        <v>57</v>
      </c>
    </row>
    <row r="17" customFormat="false" ht="12.75" hidden="false" customHeight="false" outlineLevel="0" collapsed="false">
      <c r="A17" s="59" t="n">
        <v>45652</v>
      </c>
      <c r="B17" s="56" t="s">
        <v>88</v>
      </c>
      <c r="C17" s="57" t="s">
        <v>87</v>
      </c>
      <c r="D17" s="57" t="s">
        <v>64</v>
      </c>
      <c r="E17" s="57" t="s">
        <v>57</v>
      </c>
      <c r="F17" s="57" t="s">
        <v>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2021-11-19T11:14:06Z</dcterms:created>
  <dc:creator>Sebastian Meisel</dc:creator>
  <dc:description/>
  <dc:language>de-DE</dc:language>
  <cp:lastModifiedBy>Sebastian Meisel</cp:lastModifiedBy>
  <dcterms:modified xsi:type="dcterms:W3CDTF">2025-05-02T11:15:45Z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